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ingle" sheetId="1" state="visible" r:id="rId1"/>
    <sheet xmlns:r="http://schemas.openxmlformats.org/officeDocument/2006/relationships" name="Mix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</externalReferences>
  <definedNames>
    <definedName name="_56_x_36">'[1]SS24 bags 39 (not use)'!#REF!</definedName>
    <definedName name="_Fill" hidden="1">#REF!</definedName>
    <definedName name="_foe43">#REF!</definedName>
    <definedName name="A">#REF!</definedName>
    <definedName name="aaa">#REF!</definedName>
    <definedName name="ab">#REF!</definedName>
    <definedName name="ajdkfjeidfkd">'[2]01-7'!$A$5:$B$183</definedName>
    <definedName name="ATTRIBUTE">#REF!</definedName>
    <definedName name="B">#REF!</definedName>
    <definedName name="bbbb">#REF!</definedName>
    <definedName name="be">#REF!</definedName>
    <definedName name="BUYER">#REF!</definedName>
    <definedName name="BUYERS">#REF!</definedName>
    <definedName name="CATSEG">'[3]HIERARCHY KEY'!$H$9:$H$31</definedName>
    <definedName name="CHANNELS">#REF!</definedName>
    <definedName name="COLOR">#REF!</definedName>
    <definedName name="ColorValidate">'[4]Data Validation'!$C$3:$C$59</definedName>
    <definedName name="Colour_grouping">#REF!</definedName>
    <definedName name="CONTRACT">'[2]01-7'!$A$5:$B$183</definedName>
    <definedName name="COUNTRY">#REF!</definedName>
    <definedName name="D">#REF!</definedName>
    <definedName name="da">#REF!</definedName>
    <definedName name="DAR">#REF!</definedName>
    <definedName name="DAS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y">#REF!</definedName>
    <definedName name="DDD">#REF!</definedName>
    <definedName name="dfdf">#REF!</definedName>
    <definedName name="DNR">#REF!</definedName>
    <definedName name="Drawn_JPY">#REF!</definedName>
    <definedName name="Drawn_USD">#REF!</definedName>
    <definedName name="DROPSHIP">#REF!</definedName>
    <definedName name="DSA">#REF!</definedName>
    <definedName name="dwed">#REF!</definedName>
    <definedName name="DWEWW">#REF!</definedName>
    <definedName name="EES">#REF!</definedName>
    <definedName name="EOP">#REF!</definedName>
    <definedName name="Excel_BuiltIn_Print_Area_1">#REF!</definedName>
    <definedName name="Excel_BuiltIn_Print_Area_1_1">#REF!</definedName>
    <definedName name="Excel_BuiltIn_Print_Area_10">#REF!</definedName>
    <definedName name="Excel_BuiltIn_Print_Area_2">#REF!</definedName>
    <definedName name="Excel_BuiltIn_Print_Area_2_1">#REF!</definedName>
    <definedName name="Excel_BuiltIn_Print_Area_3">#REF!</definedName>
    <definedName name="Excel_BuiltIn_Print_Area_5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1_1">#REF!</definedName>
    <definedName name="Excel_BuiltIn_Print_Titles_2">#REF!</definedName>
    <definedName name="Excel_BuiltIn_Print_Titles_23">#REF!</definedName>
    <definedName name="Excel_BuiltIn_Print_Titles_24">#REF!</definedName>
    <definedName name="Excel_BuiltIn_Print_Titles_3">#REF!</definedName>
    <definedName name="Excel_BuiltIn_Print_Titles_3_1">#REF!</definedName>
    <definedName name="EXCTAX">#REF!</definedName>
    <definedName name="F" hidden="1">#REF!</definedName>
    <definedName name="F8E4" hidden="1">#REF!</definedName>
    <definedName name="FDSF">#REF!</definedName>
    <definedName name="fe">#REF!</definedName>
    <definedName name="fgf">#REF!</definedName>
    <definedName name="FILI" hidden="1">#REF!</definedName>
    <definedName name="FILL" hidden="1">#REF!</definedName>
    <definedName name="FILQ" hidden="1">#REF!</definedName>
    <definedName name="FOB">#REF!</definedName>
    <definedName name="FOOD">#REF!</definedName>
    <definedName name="Format">#REF!</definedName>
    <definedName name="FREE">#REF!</definedName>
    <definedName name="FSDFSF">#REF!</definedName>
    <definedName name="g">#REF!</definedName>
    <definedName name="GENDER">'[3]HIERARCHY KEY'!$C$26:$C$27</definedName>
    <definedName name="gg">#REF!</definedName>
    <definedName name="GKGK">#REF!</definedName>
    <definedName name="grf">#REF!</definedName>
    <definedName name="Handbag">#REF!</definedName>
    <definedName name="HUSKY">#REF!</definedName>
    <definedName name="JAP">#REF!</definedName>
    <definedName name="KIT">#REF!</definedName>
    <definedName name="KJ">#REF!</definedName>
    <definedName name="LEGO">#REF!</definedName>
    <definedName name="lu">#REF!</definedName>
    <definedName name="MailTo_JPY">#REF!</definedName>
    <definedName name="MailTo_USD">#REF!</definedName>
    <definedName name="master">#REF!</definedName>
    <definedName name="MERCH">#REF!</definedName>
    <definedName name="MERCHANDISED">[5]LU!$A$2:$A$5</definedName>
    <definedName name="MERCHANT">#REF!</definedName>
    <definedName name="MERCHANTE">#REF!</definedName>
    <definedName name="MISC">#REF!</definedName>
    <definedName name="MODGRP">'[3]HIERARCHY KEY'!$AA$9:$AA$28</definedName>
    <definedName name="nb">#REF!</definedName>
    <definedName name="no">#REF!</definedName>
    <definedName name="O">#REF!</definedName>
    <definedName name="ORIGIN">#REF!</definedName>
    <definedName name="OVERSIZE">#REF!</definedName>
    <definedName name="OVSIZE">#REF!</definedName>
    <definedName name="PL">#REF!</definedName>
    <definedName name="POnum">#REF!</definedName>
    <definedName name="POSTSALES">#REF!</definedName>
    <definedName name="PREPAID">#REF!</definedName>
    <definedName name="Print_Title">#REF!</definedName>
    <definedName name="pro">#REF!</definedName>
    <definedName name="Product_group">#REF!</definedName>
    <definedName name="RANGE_BUYER">OFFSET('[6]ORDER LIST 2021 (T4)'!$H$2,,,COUNTA('[6]ORDER LIST 2021 (T4)'!$H:$H)-1)</definedName>
    <definedName name="RANGE_CMTTOTAL">OFFSET('[6]ORDER LIST 2021 (T4)'!$AB$2,,,COUNTA('[6]ORDER LIST 2021 (T4)'!$AB:$AB)-1)</definedName>
    <definedName name="RANGE_FGPAYMENTACTUAL1">OFFSET('[6]ORDER LIST 2021 (T4)'!$AU$2,,,COUNTA('[6]ORDER LIST 2021 (T4)'!$AU:$AU)-1)</definedName>
    <definedName name="RANGE_FGPAYMENTACTUAL2">OFFSET('[6]ORDER LIST 2021 (T4)'!$AX$2,,,COUNTA('[6]ORDER LIST 2021 (T4)'!$AX:$AX)-1)</definedName>
    <definedName name="RANGE_FGPAYMENTACTUAL3">OFFSET('[6]ORDER LIST 2021 (T4)'!$BA$2,,,COUNTA('[6]ORDER LIST 2021 (T4)'!$BA:$BA)-1)</definedName>
    <definedName name="RANGE_FGPAYMENTDATEACTUAL1">OFFSET('[6]ORDER LIST 2021 (T4)'!$AS$2,,,COUNTA('[6]ORDER LIST 2021 (T4)'!$AS:$AS)-1)</definedName>
    <definedName name="RANGE_FGPAYMENTDATEACTUAL2">OFFSET('[6]ORDER LIST 2021 (T4)'!$AV$2,,,COUNTA('[6]ORDER LIST 2021 (T4)'!$AV:$AV)-1)</definedName>
    <definedName name="RANGE_FGPAYMENTDATEACTUAL3">OFFSET('[6]ORDER LIST 2021 (T4)'!$AY$2,,,COUNTA('[6]ORDER LIST 2021 (T4)'!$AY:$AY)-1)</definedName>
    <definedName name="RANGE_MONTH">OFFSET('[6]ORDER LIST 2021 (T4)'!$C$2,,,COUNTA('[6]ORDER LIST 2021 (T4)'!$C:$C)-1)</definedName>
    <definedName name="RANGE_MTLTOTAL">OFFSET('[6]ORDER LIST 2021 (T4)'!$BL$2,,,COUNTA('[6]ORDER LIST 2021 (T4)'!$BL:$BL)-1)</definedName>
    <definedName name="RANGE_ORDERTYPE">OFFSET('[6]ORDER LIST 2021 (T4)'!$M$2,,,COUNTA('[6]ORDER LIST 2021 (T4)'!$M:$M)-1)</definedName>
    <definedName name="RANGE_SHIPPINGAMOUNT">OFFSET('[6]ORDER LIST 2021 (T4)'!$BQ$2,,,COUNTA('[6]ORDER LIST 2021 (T4)'!$BQ:$BQ)-1)</definedName>
    <definedName name="RANGE_TOTALFOB">OFFSET('[6]ORDER LIST 2021 (T4)'!$AG$2,,,COUNTA('[6]ORDER LIST 2021 (T4)'!$AG:$AG)-1)</definedName>
    <definedName name="RE..">#REF!</definedName>
    <definedName name="REFUND">#REF!</definedName>
    <definedName name="REGIONAL">#REF!</definedName>
    <definedName name="REIMBK">#REF!</definedName>
    <definedName name="ReimBK_JPY">#REF!</definedName>
    <definedName name="ReimBK_USD">#REF!</definedName>
    <definedName name="renego_jpy">#REF!</definedName>
    <definedName name="renego_usd">#REF!</definedName>
    <definedName name="reneto">#REF!</definedName>
    <definedName name="RUN">#REF!</definedName>
    <definedName name="s">#REF!</definedName>
    <definedName name="SEASON">#REF!</definedName>
    <definedName name="Senzanome">[7]Master!#REF!</definedName>
    <definedName name="sheet">#REF!</definedName>
    <definedName name="SHIPALONE">#REF!</definedName>
    <definedName name="SIZE">'[3]HIERARCHY KEY'!$C$30:$C$38</definedName>
    <definedName name="SPECIALBUY">#REF!</definedName>
    <definedName name="SR">#REF!</definedName>
    <definedName name="STAHLSAC">#REF!</definedName>
    <definedName name="stc">#REF!</definedName>
    <definedName name="SURCHARGE">#REF!</definedName>
    <definedName name="SWISS">#REF!</definedName>
    <definedName name="TEM">#REF!</definedName>
    <definedName name="tenor_JPY">#REF!</definedName>
    <definedName name="tenor_USD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ID">#REF!</definedName>
    <definedName name="TYPE">#REF!</definedName>
    <definedName name="Usage_occasion">#REF!</definedName>
    <definedName name="USD">#REF!</definedName>
    <definedName name="uuu">#REF!</definedName>
    <definedName name="VINA">#REF!</definedName>
    <definedName name="WARRANTY">'[3]HIERARCHY KEY'!$R$9:$R$20</definedName>
    <definedName name="WERF">#REF!</definedName>
    <definedName name="xSCSCscx">#REF!</definedName>
    <definedName name="xx">#REF!</definedName>
    <definedName name="그래">#REF!</definedName>
    <definedName name="래">#REF!</definedName>
    <definedName name="랲">#REF!</definedName>
    <definedName name="매입의뢰서">#REF!</definedName>
    <definedName name="머냐">#REF!</definedName>
    <definedName name="바보">#REF!</definedName>
    <definedName name="ㅅㄷ">#REF!</definedName>
    <definedName name="썅">#REF!</definedName>
    <definedName name="ㅇㄴ">#REF!</definedName>
    <definedName name="ㅇㄹㄴㅁ">#REF!</definedName>
    <definedName name="야">#REF!</definedName>
    <definedName name="우정">#REF!</definedName>
    <definedName name="음냐">'[2]01-7'!$A$5:$B$183</definedName>
    <definedName name="한글">#REF!</definedName>
    <definedName name="ㅠㅠ류">#REF!</definedName>
    <definedName name="_xlnm._FilterDatabase" localSheetId="1" hidden="1">'Mix'!$A$5:$S$5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??_-;_-@_-"/>
    <numFmt numFmtId="165" formatCode="_-* #,##0.00_-;\-* #,##0.00_-;_-* &quot;-&quot;??_-;_-@_-"/>
    <numFmt numFmtId="166" formatCode="0.00_ "/>
    <numFmt numFmtId="167" formatCode="###"/>
    <numFmt numFmtId="168" formatCode="_ * #,##0.00_ ;_ * \-#,##0.00_ ;_ * &quot;-&quot;??_ ;_ @_ "/>
    <numFmt numFmtId="169" formatCode="_-* #,##0_-;\-* #,##0_-;_-* &quot;-&quot;_-;_-@_-"/>
  </numFmts>
  <fonts count="20">
    <font>
      <name val="Arial"/>
      <family val="2"/>
      <color theme="1"/>
      <sz val="8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8"/>
      <scheme val="minor"/>
    </font>
    <font>
      <name val="Georgia"/>
      <family val="1"/>
      <color theme="1"/>
      <sz val="10"/>
    </font>
    <font>
      <name val="Arial"/>
      <family val="2"/>
      <sz val="9"/>
      <scheme val="minor"/>
    </font>
    <font>
      <name val="돋움"/>
      <charset val="129"/>
      <sz val="11"/>
    </font>
    <font>
      <name val="Arial"/>
      <family val="2"/>
      <color theme="1"/>
      <sz val="8"/>
    </font>
    <font>
      <name val="Arial"/>
      <family val="2"/>
      <color theme="1"/>
      <sz val="12"/>
      <scheme val="minor"/>
    </font>
    <font>
      <name val="Arial"/>
      <family val="2"/>
      <b val="1"/>
      <sz val="8"/>
      <scheme val="major"/>
    </font>
    <font>
      <name val="Arial"/>
      <family val="2"/>
      <sz val="8"/>
      <scheme val="major"/>
    </font>
    <font>
      <name val="Calibri"/>
      <family val="2"/>
      <b val="1"/>
      <sz val="20"/>
    </font>
    <font>
      <name val="Calibri"/>
      <family val="2"/>
      <sz val="9"/>
    </font>
    <font>
      <name val="Arial"/>
      <family val="2"/>
      <sz val="8"/>
      <scheme val="minor"/>
    </font>
    <font>
      <name val="Arial"/>
      <charset val="136"/>
      <family val="1"/>
      <color theme="1"/>
      <sz val="12"/>
      <scheme val="minor"/>
    </font>
    <font>
      <b val="1"/>
      <color rgb="007F6000"/>
      <sz val="10"/>
    </font>
    <font>
      <color rgb="00006100"/>
    </font>
    <font>
      <b val="1"/>
      <color rgb="009C0006"/>
    </font>
    <font>
      <i val="1"/>
      <color rgb="001F4E78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5999938962981048"/>
        <bgColor rgb="FFFFFFFF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9000"/>
      </left>
      <right style="thin">
        <color rgb="00BF9000"/>
      </right>
      <top style="thin">
        <color rgb="00BF9000"/>
      </top>
      <bottom style="thin">
        <color rgb="00BF9000"/>
      </bottom>
    </border>
  </borders>
  <cellStyleXfs count="18">
    <xf numFmtId="0" fontId="4" fillId="0" borderId="0"/>
    <xf numFmtId="165" fontId="5" fillId="0" borderId="0"/>
    <xf numFmtId="0" fontId="7" fillId="0" borderId="0"/>
    <xf numFmtId="43" fontId="8" fillId="0" borderId="0"/>
    <xf numFmtId="168" fontId="3" fillId="0" borderId="0" applyAlignment="1">
      <alignment vertical="center"/>
    </xf>
    <xf numFmtId="0" fontId="7" fillId="0" borderId="0"/>
    <xf numFmtId="169" fontId="9" fillId="0" borderId="0" applyAlignment="1">
      <alignment vertical="center"/>
    </xf>
    <xf numFmtId="169" fontId="7" fillId="0" borderId="0"/>
    <xf numFmtId="43" fontId="4" fillId="0" borderId="0"/>
    <xf numFmtId="165" fontId="8" fillId="0" borderId="0"/>
    <xf numFmtId="0" fontId="3" fillId="0" borderId="0"/>
    <xf numFmtId="0" fontId="8" fillId="0" borderId="0"/>
    <xf numFmtId="0" fontId="3" fillId="0" borderId="0"/>
    <xf numFmtId="168" fontId="3" fillId="0" borderId="0" applyAlignment="1">
      <alignment vertical="center"/>
    </xf>
    <xf numFmtId="0" fontId="3" fillId="0" borderId="0"/>
    <xf numFmtId="43" fontId="4" fillId="0" borderId="0"/>
    <xf numFmtId="0" fontId="8" fillId="0" borderId="0"/>
    <xf numFmtId="0" fontId="15" fillId="0" borderId="0" applyAlignment="1">
      <alignment vertical="center"/>
    </xf>
  </cellStyleXfs>
  <cellXfs count="99">
    <xf numFmtId="0" fontId="0" fillId="0" borderId="0" pivotButton="0" quotePrefix="0" xfId="0"/>
    <xf numFmtId="2" fontId="6" fillId="3" borderId="8" applyAlignment="1" pivotButton="0" quotePrefix="0" xfId="3">
      <alignment horizontal="center" vertical="top"/>
    </xf>
    <xf numFmtId="4" fontId="6" fillId="3" borderId="9" applyAlignment="1" pivotButton="0" quotePrefix="0" xfId="3">
      <alignment horizontal="center" vertical="top"/>
    </xf>
    <xf numFmtId="1" fontId="6" fillId="3" borderId="9" applyAlignment="1" pivotButton="0" quotePrefix="0" xfId="3">
      <alignment horizontal="center" vertical="top"/>
    </xf>
    <xf numFmtId="1" fontId="6" fillId="3" borderId="9" applyAlignment="1" pivotButton="0" quotePrefix="0" xfId="2">
      <alignment horizontal="center" vertical="top"/>
    </xf>
    <xf numFmtId="1" fontId="6" fillId="3" borderId="9" applyAlignment="1" pivotButton="0" quotePrefix="0" xfId="8">
      <alignment horizontal="center" vertical="top"/>
    </xf>
    <xf numFmtId="0" fontId="6" fillId="3" borderId="9" pivotButton="0" quotePrefix="0" xfId="11"/>
    <xf numFmtId="1" fontId="6" fillId="3" borderId="9" applyAlignment="1" pivotButton="0" quotePrefix="0" xfId="8">
      <alignment horizontal="center" vertical="center"/>
    </xf>
    <xf numFmtId="0" fontId="11" fillId="2" borderId="0" applyAlignment="1" pivotButton="0" quotePrefix="0" xfId="2">
      <alignment vertical="top"/>
    </xf>
    <xf numFmtId="0" fontId="6" fillId="2" borderId="0" applyAlignment="1" pivotButton="0" quotePrefix="0" xfId="2">
      <alignment vertical="center"/>
    </xf>
    <xf numFmtId="0" fontId="6" fillId="2" borderId="0" applyAlignment="1" pivotButton="0" quotePrefix="0" xfId="2">
      <alignment vertical="top"/>
    </xf>
    <xf numFmtId="3" fontId="10" fillId="2" borderId="7" applyAlignment="1" pivotButton="0" quotePrefix="0" xfId="2">
      <alignment horizontal="center" vertical="center" wrapText="1"/>
    </xf>
    <xf numFmtId="1" fontId="10" fillId="2" borderId="2" applyAlignment="1" pivotButton="0" quotePrefix="0" xfId="3">
      <alignment horizontal="center" vertical="center" wrapText="1"/>
    </xf>
    <xf numFmtId="1" fontId="10" fillId="2" borderId="2" applyAlignment="1" pivotButton="0" quotePrefix="0" xfId="2">
      <alignment horizontal="center" vertical="center" wrapText="1"/>
    </xf>
    <xf numFmtId="1" fontId="10" fillId="2" borderId="7" applyAlignment="1" pivotButton="0" quotePrefix="0" xfId="2">
      <alignment horizontal="center" vertical="center" wrapText="1"/>
    </xf>
    <xf numFmtId="1" fontId="10" fillId="2" borderId="7" applyAlignment="1" pivotButton="0" quotePrefix="0" xfId="3">
      <alignment horizontal="center" vertical="center" wrapText="1"/>
    </xf>
    <xf numFmtId="164" fontId="10" fillId="2" borderId="7" applyAlignment="1" pivotButton="0" quotePrefix="0" xfId="1">
      <alignment horizontal="center" vertical="center" wrapText="1"/>
    </xf>
    <xf numFmtId="4" fontId="10" fillId="2" borderId="7" applyAlignment="1" pivotButton="0" quotePrefix="0" xfId="1">
      <alignment horizontal="center" vertical="center" wrapText="1"/>
    </xf>
    <xf numFmtId="43" fontId="6" fillId="2" borderId="0" applyAlignment="1" pivotButton="0" quotePrefix="0" xfId="2">
      <alignment vertical="center"/>
    </xf>
    <xf numFmtId="0" fontId="10" fillId="2" borderId="0" applyAlignment="1" pivotButton="0" quotePrefix="0" xfId="2">
      <alignment vertical="top" wrapText="1"/>
    </xf>
    <xf numFmtId="3" fontId="12" fillId="5" borderId="1" applyAlignment="1" pivotButton="0" quotePrefix="0" xfId="9">
      <alignment horizontal="left" vertical="center"/>
    </xf>
    <xf numFmtId="165" fontId="6" fillId="3" borderId="9" pivotButton="0" quotePrefix="0" xfId="14"/>
    <xf numFmtId="1" fontId="6" fillId="4" borderId="9" applyAlignment="1" pivotButton="0" quotePrefix="0" xfId="14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3" fillId="2" borderId="5" applyAlignment="1" pivotButton="0" quotePrefix="0" xfId="11">
      <alignment vertical="center"/>
    </xf>
    <xf numFmtId="1" fontId="0" fillId="0" borderId="0" applyAlignment="1" pivotButton="0" quotePrefix="0" xfId="0">
      <alignment vertical="center"/>
    </xf>
    <xf numFmtId="166" fontId="0" fillId="0" borderId="5" applyAlignment="1" pivotButton="0" quotePrefix="0" xfId="0">
      <alignment horizontal="center"/>
    </xf>
    <xf numFmtId="3" fontId="13" fillId="6" borderId="5" applyAlignment="1" pivotButton="0" quotePrefix="0" xfId="10">
      <alignment horizontal="center"/>
    </xf>
    <xf numFmtId="3" fontId="13" fillId="6" borderId="7" pivotButton="0" quotePrefix="0" xfId="10"/>
    <xf numFmtId="167" fontId="0" fillId="0" borderId="0" applyAlignment="1" pivotButton="0" quotePrefix="0" xfId="0">
      <alignment horizontal="left" vertical="center"/>
    </xf>
    <xf numFmtId="0" fontId="13" fillId="0" borderId="5" applyAlignment="1" pivotButton="0" quotePrefix="0" xfId="11">
      <alignment horizontal="center"/>
    </xf>
    <xf numFmtId="0" fontId="13" fillId="7" borderId="5" applyAlignment="1" pivotButton="0" quotePrefix="0" xfId="11">
      <alignment horizontal="center"/>
    </xf>
    <xf numFmtId="1" fontId="13" fillId="0" borderId="8" applyAlignment="1" pivotButton="0" quotePrefix="0" xfId="8">
      <alignment horizontal="center" vertical="center"/>
    </xf>
    <xf numFmtId="1" fontId="13" fillId="7" borderId="5" applyAlignment="1" pivotButton="0" quotePrefix="0" xfId="11">
      <alignment horizontal="center"/>
    </xf>
    <xf numFmtId="1" fontId="13" fillId="0" borderId="5" applyAlignment="1" pivotButton="0" quotePrefix="0" xfId="10">
      <alignment horizontal="center"/>
    </xf>
    <xf numFmtId="3" fontId="13" fillId="0" borderId="10" applyAlignment="1" pivotButton="0" quotePrefix="0" xfId="10">
      <alignment horizontal="center" vertical="center"/>
    </xf>
    <xf numFmtId="1" fontId="13" fillId="0" borderId="5" applyAlignment="1" pivotButton="0" quotePrefix="0" xfId="2">
      <alignment horizontal="center" vertical="top"/>
    </xf>
    <xf numFmtId="1" fontId="10" fillId="2" borderId="10" applyAlignment="1" pivotButton="0" quotePrefix="0" xfId="2">
      <alignment horizontal="center" vertical="center"/>
    </xf>
    <xf numFmtId="1" fontId="10" fillId="2" borderId="9" applyAlignment="1" pivotButton="0" quotePrefix="0" xfId="3">
      <alignment horizontal="center" vertical="center"/>
    </xf>
    <xf numFmtId="167" fontId="10" fillId="2" borderId="5" applyAlignment="1" pivotButton="0" quotePrefix="0" xfId="2">
      <alignment horizontal="left" vertical="center" wrapText="1"/>
    </xf>
    <xf numFmtId="167" fontId="10" fillId="2" borderId="7" applyAlignment="1" pivotButton="0" quotePrefix="0" xfId="2">
      <alignment horizontal="left" vertical="center" wrapText="1"/>
    </xf>
    <xf numFmtId="0" fontId="10" fillId="2" borderId="4" applyAlignment="1" pivotButton="0" quotePrefix="0" xfId="2">
      <alignment horizontal="center" vertical="center"/>
    </xf>
    <xf numFmtId="0" fontId="10" fillId="2" borderId="3" applyAlignment="1" pivotButton="0" quotePrefix="0" xfId="2">
      <alignment horizontal="center" vertical="center"/>
    </xf>
    <xf numFmtId="0" fontId="10" fillId="2" borderId="1" applyAlignment="1" pivotButton="0" quotePrefix="0" xfId="2">
      <alignment horizontal="center" vertical="center"/>
    </xf>
    <xf numFmtId="0" fontId="10" fillId="2" borderId="0" applyAlignment="1" pivotButton="0" quotePrefix="0" xfId="2">
      <alignment horizontal="center" vertical="center"/>
    </xf>
    <xf numFmtId="2" fontId="10" fillId="2" borderId="7" applyAlignment="1" pivotButton="0" quotePrefix="0" xfId="4">
      <alignment horizontal="center" vertical="center" wrapText="1"/>
    </xf>
    <xf numFmtId="2" fontId="10" fillId="2" borderId="6" applyAlignment="1" pivotButton="0" quotePrefix="0" xfId="4">
      <alignment horizontal="center" vertical="center" wrapText="1"/>
    </xf>
    <xf numFmtId="2" fontId="10" fillId="2" borderId="7" applyAlignment="1" pivotButton="0" quotePrefix="0" xfId="1">
      <alignment horizontal="center" vertical="center" wrapText="1"/>
    </xf>
    <xf numFmtId="2" fontId="10" fillId="2" borderId="6" applyAlignment="1" pivotButton="0" quotePrefix="0" xfId="1">
      <alignment horizontal="center" vertical="center" wrapText="1"/>
    </xf>
    <xf numFmtId="1" fontId="10" fillId="2" borderId="9" applyAlignment="1" pivotButton="0" quotePrefix="0" xfId="2">
      <alignment horizontal="center" vertical="center"/>
    </xf>
    <xf numFmtId="43" fontId="10" fillId="2" borderId="9" applyAlignment="1" pivotButton="0" quotePrefix="0" xfId="3">
      <alignment horizontal="center" vertical="center"/>
    </xf>
    <xf numFmtId="0" fontId="10" fillId="2" borderId="8" applyAlignment="1" pivotButton="0" quotePrefix="0" xfId="2">
      <alignment horizontal="center" vertical="center"/>
    </xf>
    <xf numFmtId="4" fontId="10" fillId="2" borderId="10" applyAlignment="1" pivotButton="0" quotePrefix="0" xfId="1">
      <alignment horizontal="center" vertical="center"/>
    </xf>
    <xf numFmtId="4" fontId="10" fillId="2" borderId="8" applyAlignment="1" pivotButton="0" quotePrefix="0" xfId="1">
      <alignment horizontal="center" vertical="center"/>
    </xf>
    <xf numFmtId="1" fontId="10" fillId="2" borderId="7" applyAlignment="1" pivotButton="0" quotePrefix="0" xfId="2">
      <alignment horizontal="center" vertical="center" wrapText="1"/>
    </xf>
    <xf numFmtId="1" fontId="10" fillId="2" borderId="7" applyAlignment="1" pivotButton="0" quotePrefix="0" xfId="3">
      <alignment horizontal="center" vertical="center" wrapText="1"/>
    </xf>
    <xf numFmtId="0" fontId="10" fillId="2" borderId="5" applyAlignment="1" pivotButton="0" quotePrefix="0" xfId="2">
      <alignment horizontal="center" vertical="center" wrapText="1"/>
    </xf>
    <xf numFmtId="0" fontId="10" fillId="2" borderId="7" applyAlignment="1" pivotButton="0" quotePrefix="0" xfId="2">
      <alignment horizontal="center" vertical="center" wrapText="1"/>
    </xf>
    <xf numFmtId="2" fontId="10" fillId="2" borderId="7" applyAlignment="1" pivotButton="0" quotePrefix="0" xfId="13">
      <alignment horizontal="center" vertical="center" wrapText="1"/>
    </xf>
    <xf numFmtId="2" fontId="10" fillId="2" borderId="6" applyAlignment="1" pivotButton="0" quotePrefix="0" xfId="13">
      <alignment horizontal="center" vertical="center" wrapText="1"/>
    </xf>
    <xf numFmtId="1" fontId="13" fillId="7" borderId="7" applyAlignment="1" pivotButton="0" quotePrefix="0" xfId="8">
      <alignment horizontal="center" vertical="center"/>
    </xf>
    <xf numFmtId="1" fontId="13" fillId="7" borderId="11" applyAlignment="1" pivotButton="0" quotePrefix="0" xfId="8">
      <alignment horizontal="center" vertical="center"/>
    </xf>
    <xf numFmtId="1" fontId="13" fillId="7" borderId="7" applyAlignment="1" pivotButton="0" quotePrefix="0" xfId="2">
      <alignment horizontal="center" vertical="center"/>
    </xf>
    <xf numFmtId="1" fontId="13" fillId="7" borderId="11" applyAlignment="1" pivotButton="0" quotePrefix="0" xfId="2">
      <alignment horizontal="center" vertical="center"/>
    </xf>
    <xf numFmtId="167" fontId="0" fillId="0" borderId="0" applyAlignment="1" pivotButton="0" quotePrefix="0" xfId="0">
      <alignment horizontal="left" vertical="center"/>
    </xf>
    <xf numFmtId="0" fontId="16" fillId="8" borderId="21" applyAlignment="1" pivotButton="0" quotePrefix="0" xfId="0">
      <alignment horizontal="left" vertical="center" wrapText="1"/>
    </xf>
    <xf numFmtId="0" fontId="0" fillId="0" borderId="21" pivotButton="0" quotePrefix="0" xfId="0"/>
    <xf numFmtId="1" fontId="17" fillId="9" borderId="10" applyAlignment="1" pivotButton="0" quotePrefix="0" xfId="2">
      <alignment horizontal="center" vertical="center"/>
    </xf>
    <xf numFmtId="0" fontId="17" fillId="9" borderId="13" pivotButton="0" quotePrefix="0" xfId="0"/>
    <xf numFmtId="167" fontId="18" fillId="10" borderId="5" applyAlignment="1" pivotButton="0" quotePrefix="0" xfId="2">
      <alignment horizontal="left" vertical="center" wrapText="1"/>
    </xf>
    <xf numFmtId="0" fontId="17" fillId="9" borderId="4" applyAlignment="1" pivotButton="0" quotePrefix="0" xfId="2">
      <alignment horizontal="center" vertical="center"/>
    </xf>
    <xf numFmtId="0" fontId="17" fillId="9" borderId="3" pivotButton="0" quotePrefix="0" xfId="0"/>
    <xf numFmtId="1" fontId="10" fillId="2" borderId="17" applyAlignment="1" pivotButton="0" quotePrefix="0" xfId="2">
      <alignment horizontal="center" vertical="center"/>
    </xf>
    <xf numFmtId="0" fontId="0" fillId="0" borderId="9" pivotButton="0" quotePrefix="0" xfId="0"/>
    <xf numFmtId="0" fontId="0" fillId="0" borderId="17" pivotButton="0" quotePrefix="0" xfId="0"/>
    <xf numFmtId="4" fontId="10" fillId="2" borderId="5" applyAlignment="1" pivotButton="0" quotePrefix="0" xfId="1">
      <alignment horizontal="center" vertical="center"/>
    </xf>
    <xf numFmtId="0" fontId="0" fillId="0" borderId="8" pivotButton="0" quotePrefix="0" xfId="0"/>
    <xf numFmtId="3" fontId="17" fillId="9" borderId="7" applyAlignment="1" pivotButton="0" quotePrefix="0" xfId="2">
      <alignment horizontal="center" vertical="center" wrapText="1"/>
    </xf>
    <xf numFmtId="1" fontId="17" fillId="9" borderId="2" applyAlignment="1" pivotButton="0" quotePrefix="0" xfId="3">
      <alignment horizontal="center" vertical="center" wrapText="1"/>
    </xf>
    <xf numFmtId="0" fontId="18" fillId="10" borderId="14" pivotButton="0" quotePrefix="0" xfId="0"/>
    <xf numFmtId="0" fontId="17" fillId="9" borderId="15" pivotButton="0" quotePrefix="0" xfId="0"/>
    <xf numFmtId="0" fontId="17" fillId="9" borderId="0" pivotButton="0" quotePrefix="0" xfId="0"/>
    <xf numFmtId="0" fontId="0" fillId="0" borderId="16" pivotButton="0" quotePrefix="0" xfId="0"/>
    <xf numFmtId="1" fontId="17" fillId="9" borderId="2" applyAlignment="1" pivotButton="0" quotePrefix="0" xfId="2">
      <alignment horizontal="center" vertical="center" wrapText="1"/>
    </xf>
    <xf numFmtId="1" fontId="18" fillId="10" borderId="7" applyAlignment="1" pivotButton="0" quotePrefix="0" xfId="2">
      <alignment horizontal="center" vertical="center" wrapText="1"/>
    </xf>
    <xf numFmtId="1" fontId="19" fillId="11" borderId="7" applyAlignment="1" pivotButton="0" quotePrefix="0" xfId="3">
      <alignment horizontal="center" vertical="center" wrapText="1"/>
    </xf>
    <xf numFmtId="0" fontId="18" fillId="10" borderId="2" pivotButton="0" quotePrefix="0" xfId="0"/>
    <xf numFmtId="164" fontId="17" fillId="9" borderId="7" applyAlignment="1" pivotButton="0" quotePrefix="0" xfId="1">
      <alignment horizontal="center" vertical="center" wrapText="1"/>
    </xf>
    <xf numFmtId="166" fontId="0" fillId="0" borderId="5" applyAlignment="1" pivotButton="0" quotePrefix="0" xfId="0">
      <alignment horizontal="center"/>
    </xf>
    <xf numFmtId="0" fontId="18" fillId="10" borderId="5" applyAlignment="1" pivotButton="0" quotePrefix="0" xfId="2">
      <alignment horizontal="center" vertical="center" wrapText="1"/>
    </xf>
    <xf numFmtId="2" fontId="18" fillId="10" borderId="7" applyAlignment="1" pivotButton="0" quotePrefix="0" xfId="1">
      <alignment horizontal="center" vertical="center" wrapText="1"/>
    </xf>
    <xf numFmtId="1" fontId="18" fillId="10" borderId="7" applyAlignment="1" pivotButton="0" quotePrefix="0" xfId="3">
      <alignment horizontal="center" vertical="center" wrapText="1"/>
    </xf>
    <xf numFmtId="164" fontId="10" fillId="2" borderId="7" applyAlignment="1" pivotButton="0" quotePrefix="0" xfId="1">
      <alignment horizontal="center" vertical="center" wrapText="1"/>
    </xf>
    <xf numFmtId="0" fontId="18" fillId="10" borderId="16" pivotButton="0" quotePrefix="0" xfId="0"/>
    <xf numFmtId="165" fontId="6" fillId="3" borderId="9" pivotButton="0" quotePrefix="0" xfId="14"/>
    <xf numFmtId="1" fontId="13" fillId="7" borderId="20" applyAlignment="1" pivotButton="0" quotePrefix="0" xfId="8">
      <alignment horizontal="center" vertical="center"/>
    </xf>
    <xf numFmtId="1" fontId="13" fillId="7" borderId="20" applyAlignment="1" pivotButton="0" quotePrefix="0" xfId="2">
      <alignment horizontal="center" vertical="center"/>
    </xf>
    <xf numFmtId="0" fontId="0" fillId="0" borderId="11" pivotButton="0" quotePrefix="0" xfId="0"/>
  </cellXfs>
  <cellStyles count="18">
    <cellStyle name="Normal" xfId="0" builtinId="0"/>
    <cellStyle name="Comma 2 2 4" xfId="1"/>
    <cellStyle name="Normal 4 72 2" xfId="2"/>
    <cellStyle name="Comma 4 2" xfId="3"/>
    <cellStyle name="Comma 5" xfId="4"/>
    <cellStyle name="표준_klty-invoice(2) 2" xfId="5"/>
    <cellStyle name="Comma [0] 46" xfId="6"/>
    <cellStyle name="콤마 [0]_klty-invoice(2) 2" xfId="7"/>
    <cellStyle name="Comma 2" xfId="8"/>
    <cellStyle name="Comma 3" xfId="9"/>
    <cellStyle name="Normal 3 3 2 2" xfId="10"/>
    <cellStyle name="Normal 2 2 2" xfId="11"/>
    <cellStyle name="Normal 3 3 2 2 2" xfId="12"/>
    <cellStyle name="Comma 5 2" xfId="13"/>
    <cellStyle name="Normal 3 3 2 2 3" xfId="14"/>
    <cellStyle name="Comma 2 2" xfId="15"/>
    <cellStyle name="Normal 12" xfId="16"/>
    <cellStyle name="Normal 2" xfId="17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externalLink" Target="/xl/externalLinks/externalLink6.xml" Id="rId8"/><Relationship Type="http://schemas.openxmlformats.org/officeDocument/2006/relationships/externalLink" Target="/xl/externalLinks/externalLink7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HIEN\C&#212;NG%20VI&#7878;C\SMOOTHLINK\TOPOLOGIE\STANDARD%20BOX%20AND%20WEIGHT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M2\d\RECYCLED\NPROTECT\SHEETLOW2104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O:\R&amp;D\Linelist&#61480;\S20%20Line%20List\S20_GMP_LL_APR12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hardy\Ranch\Product\Mountain_Hunting_KW%20Line%20Plans\F17\F17%20Lineplan_Mountain_10.5.16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O:\Users\albright\Desktop\#93230%20Gregory%20Mountain%20PPL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../../../../../../../../../../../../AJS/0.%20AJS/MOTHER%20FILE-TEAM%204/MOTHER%20FILE-SALES%20TEAM%204%20210520.xlsx" TargetMode="External" Id="rId2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Lowe-dc01\produzione(la)\(LA)%20Samples\(L.A)6%20SS%2007%20Samples\(L.A)%20SS07%20Master%20Samples\Packs%20Samples%20SS07\Master%20Garments%20SS07%2027.04.06%20(Ism)%20Price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 AW23 (bag+strap)(not use)"/>
      <sheetName val="SS24 straps lot#39(not use)"/>
      <sheetName val="SS24 bags 39 (not use)"/>
      <sheetName val="SS24 bag Lot #40"/>
      <sheetName val="SS24 straps lot#40"/>
      <sheetName val="AW24-LOT#44"/>
      <sheetName val="AW24-LOT#45"/>
      <sheetName val="AW24 - LOT#47"/>
      <sheetName val="LOT#48"/>
      <sheetName val="LOT#49"/>
      <sheetName val="LOT#49A"/>
      <sheetName val="LOT#50 (EU &amp; JP &amp; HK &amp; TW)"/>
      <sheetName val="LOT#50 (USA)"/>
      <sheetName val="LOT#51 (HK ,TW, JP, EU)  "/>
      <sheetName val="LOT#51 USA   21.02"/>
      <sheetName val="51A REFLECTIVE (HK+TW+JP+EU)"/>
      <sheetName val="51A REFLECTIVE USA 12.03"/>
      <sheetName val="PACKING LOT#52"/>
      <sheetName val="PACKING #51B"/>
      <sheetName val="LOT#51 USA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1-7"/>
      <sheetName val="lowe(uk) 데카스톤"/>
      <sheetName val="자재단가표 (2)"/>
      <sheetName val="POST 커버 "/>
      <sheetName val="(IV)"/>
      <sheetName val="(PK)"/>
      <sheetName val="자재 의뢰서 "/>
      <sheetName val="(SR)M-MEC "/>
      <sheetName val="DRAFT"/>
      <sheetName val="COVERING"/>
      <sheetName val="(IV)M-MEC (2)"/>
      <sheetName val="(PK)M-MEC (2)"/>
      <sheetName val="(IV)M-MEC"/>
      <sheetName val="(PK)M-MEC"/>
      <sheetName val="자재 의뢰서(M-MEC)"/>
      <sheetName val="DRAFT(M-MEC) "/>
    </sheetNames>
    <sheetDataSet>
      <sheetData sheetId="0" refreshError="1">
        <row r="5">
          <cell r="A5" t="str">
            <v>CONTOUR CROSSBOW 45</v>
          </cell>
          <cell r="B5">
            <v>21.22</v>
          </cell>
        </row>
        <row r="6">
          <cell r="A6" t="str">
            <v>APS 9 SH.HARN LGE</v>
          </cell>
          <cell r="B6">
            <v>4.76</v>
          </cell>
        </row>
        <row r="7">
          <cell r="A7" t="str">
            <v>APS 9 SH.HARN MED</v>
          </cell>
          <cell r="B7">
            <v>4.5599999999999996</v>
          </cell>
        </row>
        <row r="8">
          <cell r="A8" t="str">
            <v>DRAWCORD</v>
          </cell>
          <cell r="B8">
            <v>0.2</v>
          </cell>
        </row>
        <row r="9">
          <cell r="A9" t="str">
            <v>SHOULDER STRAP TRAVEL PACK</v>
          </cell>
          <cell r="B9">
            <v>1.83</v>
          </cell>
        </row>
        <row r="10">
          <cell r="A10" t="str">
            <v>TXN 1000</v>
          </cell>
          <cell r="B10">
            <v>4</v>
          </cell>
        </row>
        <row r="11">
          <cell r="A11" t="str">
            <v>ALPINE CROSSBOW 45+10</v>
          </cell>
          <cell r="B11">
            <v>26.33</v>
          </cell>
        </row>
        <row r="12">
          <cell r="B12">
            <v>26.33</v>
          </cell>
        </row>
        <row r="13">
          <cell r="B13">
            <v>26.33</v>
          </cell>
        </row>
        <row r="14">
          <cell r="A14" t="str">
            <v>ALPAMAYO ND 60+15</v>
          </cell>
          <cell r="B14">
            <v>38.909999999999997</v>
          </cell>
        </row>
        <row r="15">
          <cell r="A15" t="str">
            <v>ALPAMAYO 70+20</v>
          </cell>
          <cell r="B15">
            <v>40.450000000000003</v>
          </cell>
        </row>
        <row r="16">
          <cell r="B16">
            <v>40.450000000000003</v>
          </cell>
        </row>
        <row r="17">
          <cell r="B17">
            <v>40.450000000000003</v>
          </cell>
        </row>
        <row r="18">
          <cell r="A18" t="str">
            <v>ALPAMAYO  90+20</v>
          </cell>
          <cell r="B18">
            <v>42.35</v>
          </cell>
        </row>
        <row r="19">
          <cell r="B19">
            <v>42.35</v>
          </cell>
        </row>
        <row r="20">
          <cell r="A20" t="str">
            <v>ALPINE ATTACK 40</v>
          </cell>
          <cell r="B20">
            <v>19.39</v>
          </cell>
        </row>
        <row r="21">
          <cell r="B21">
            <v>19.39</v>
          </cell>
        </row>
        <row r="22">
          <cell r="A22" t="str">
            <v>ALPINE ATTACK 50</v>
          </cell>
          <cell r="B22">
            <v>24.96</v>
          </cell>
        </row>
        <row r="23">
          <cell r="B23">
            <v>24.96</v>
          </cell>
        </row>
        <row r="24">
          <cell r="B24">
            <v>24.96</v>
          </cell>
        </row>
        <row r="25">
          <cell r="A25" t="str">
            <v>CERRO TORRE ND 55+15</v>
          </cell>
          <cell r="B25">
            <v>31.68</v>
          </cell>
        </row>
        <row r="26">
          <cell r="B26">
            <v>31.68</v>
          </cell>
        </row>
        <row r="27">
          <cell r="B27">
            <v>31.68</v>
          </cell>
        </row>
        <row r="28">
          <cell r="A28" t="str">
            <v>CERRO TORRE 65+20 TXN FZ</v>
          </cell>
          <cell r="B28">
            <v>35.340000000000003</v>
          </cell>
        </row>
        <row r="29">
          <cell r="A29" t="str">
            <v>CERRO TORRE 65+20</v>
          </cell>
          <cell r="B29">
            <v>34.159999999999997</v>
          </cell>
        </row>
        <row r="30">
          <cell r="B30">
            <v>34.159999999999997</v>
          </cell>
        </row>
        <row r="31">
          <cell r="B31">
            <v>34.159999999999997</v>
          </cell>
        </row>
        <row r="32">
          <cell r="A32" t="str">
            <v>CERRO TORRE 75+20</v>
          </cell>
          <cell r="B32">
            <v>34.979999999999997</v>
          </cell>
        </row>
        <row r="33">
          <cell r="B33">
            <v>34.979999999999997</v>
          </cell>
        </row>
        <row r="34">
          <cell r="B34">
            <v>34.979999999999997</v>
          </cell>
        </row>
        <row r="35">
          <cell r="A35" t="str">
            <v>CERRO TORRE 85+20</v>
          </cell>
          <cell r="B35">
            <v>35.76</v>
          </cell>
        </row>
        <row r="36">
          <cell r="B36">
            <v>35.76</v>
          </cell>
        </row>
        <row r="37">
          <cell r="B37">
            <v>35.76</v>
          </cell>
        </row>
        <row r="38">
          <cell r="A38" t="str">
            <v>CONTOUR MOUNTAIN 45</v>
          </cell>
          <cell r="B38">
            <v>16.23</v>
          </cell>
        </row>
        <row r="39">
          <cell r="B39">
            <v>16.23</v>
          </cell>
        </row>
        <row r="40">
          <cell r="B40">
            <v>16.23</v>
          </cell>
        </row>
        <row r="41">
          <cell r="A41" t="str">
            <v>CRAG SACK 35</v>
          </cell>
          <cell r="B41">
            <v>16.29</v>
          </cell>
        </row>
        <row r="42">
          <cell r="B42">
            <v>16.29</v>
          </cell>
        </row>
        <row r="43">
          <cell r="B43">
            <v>16.29</v>
          </cell>
        </row>
        <row r="44">
          <cell r="A44" t="str">
            <v>ICE PEAK 40</v>
          </cell>
          <cell r="B44">
            <v>20.85</v>
          </cell>
        </row>
        <row r="45">
          <cell r="B45">
            <v>20.85</v>
          </cell>
        </row>
        <row r="46">
          <cell r="A46" t="str">
            <v>OFF LIMITS 40</v>
          </cell>
          <cell r="B46">
            <v>24.45</v>
          </cell>
        </row>
        <row r="47">
          <cell r="B47">
            <v>24.45</v>
          </cell>
        </row>
        <row r="48">
          <cell r="B48">
            <v>24.45</v>
          </cell>
        </row>
        <row r="49">
          <cell r="A49" t="str">
            <v>RONDOY 50</v>
          </cell>
          <cell r="B49">
            <v>24.73</v>
          </cell>
        </row>
        <row r="50">
          <cell r="A50" t="str">
            <v>SNOW PEAK 50</v>
          </cell>
          <cell r="B50">
            <v>19.309999999999999</v>
          </cell>
        </row>
        <row r="51">
          <cell r="B51">
            <v>19.309999999999999</v>
          </cell>
        </row>
        <row r="52">
          <cell r="A52" t="str">
            <v>SOUTH PEAK 30</v>
          </cell>
          <cell r="B52">
            <v>19.77</v>
          </cell>
        </row>
        <row r="53">
          <cell r="B53">
            <v>19.77</v>
          </cell>
        </row>
        <row r="54">
          <cell r="B54">
            <v>19.77</v>
          </cell>
        </row>
        <row r="55">
          <cell r="B55">
            <v>19.77</v>
          </cell>
        </row>
        <row r="56">
          <cell r="A56" t="str">
            <v>SOUTH PEAK 40</v>
          </cell>
          <cell r="B56">
            <v>20.64</v>
          </cell>
        </row>
        <row r="57">
          <cell r="B57">
            <v>20.64</v>
          </cell>
        </row>
        <row r="58">
          <cell r="B58">
            <v>20.64</v>
          </cell>
        </row>
        <row r="59">
          <cell r="B59">
            <v>20.64</v>
          </cell>
        </row>
        <row r="60">
          <cell r="B60">
            <v>20.64</v>
          </cell>
        </row>
        <row r="61">
          <cell r="A61" t="str">
            <v>SP .CERRO TORRE 65+20</v>
          </cell>
          <cell r="B61">
            <v>33.909999999999997</v>
          </cell>
        </row>
        <row r="62">
          <cell r="A62" t="str">
            <v>SP.CERRO TORRE 75+20</v>
          </cell>
          <cell r="B62">
            <v>34.979999999999997</v>
          </cell>
        </row>
        <row r="63">
          <cell r="A63" t="str">
            <v>SP.CERRO TORRE  ND 55+15</v>
          </cell>
          <cell r="B63">
            <v>31.68</v>
          </cell>
        </row>
        <row r="64">
          <cell r="A64" t="str">
            <v>SP.CERRO TORRE  85+20</v>
          </cell>
          <cell r="B64">
            <v>35.76</v>
          </cell>
        </row>
        <row r="65">
          <cell r="A65" t="str">
            <v>APPALACHIAN ND 50+15</v>
          </cell>
          <cell r="B65">
            <v>25.92</v>
          </cell>
        </row>
        <row r="66">
          <cell r="B66">
            <v>25.92</v>
          </cell>
        </row>
        <row r="67">
          <cell r="B67">
            <v>25.92</v>
          </cell>
        </row>
        <row r="68">
          <cell r="A68" t="str">
            <v>APPALACHIAN ND 55+15</v>
          </cell>
          <cell r="B68">
            <v>28.02</v>
          </cell>
        </row>
        <row r="69">
          <cell r="B69">
            <v>28.02</v>
          </cell>
        </row>
        <row r="70">
          <cell r="A70" t="str">
            <v>APPALACHIAN 60+15</v>
          </cell>
          <cell r="B70">
            <v>27.08</v>
          </cell>
        </row>
        <row r="71">
          <cell r="B71">
            <v>27.08</v>
          </cell>
        </row>
        <row r="72">
          <cell r="B72">
            <v>27.08</v>
          </cell>
        </row>
        <row r="73">
          <cell r="B73">
            <v>27.08</v>
          </cell>
        </row>
        <row r="74">
          <cell r="A74" t="str">
            <v>APPALACHIAN 65+15</v>
          </cell>
          <cell r="B74">
            <v>29.45</v>
          </cell>
        </row>
        <row r="75">
          <cell r="B75">
            <v>29.45</v>
          </cell>
        </row>
        <row r="76">
          <cell r="B76">
            <v>29.45</v>
          </cell>
        </row>
        <row r="77">
          <cell r="A77" t="str">
            <v>APPALACHIAN 70+15</v>
          </cell>
          <cell r="B77">
            <v>28.08</v>
          </cell>
        </row>
        <row r="78">
          <cell r="B78">
            <v>28.08</v>
          </cell>
        </row>
        <row r="79">
          <cell r="A79" t="str">
            <v>APPALACHIAN 75+15</v>
          </cell>
          <cell r="B79">
            <v>30.19</v>
          </cell>
        </row>
        <row r="80">
          <cell r="A80" t="str">
            <v>FRONTIER ND 55+15</v>
          </cell>
          <cell r="B80">
            <v>29.18</v>
          </cell>
        </row>
        <row r="81">
          <cell r="B81">
            <v>29.18</v>
          </cell>
        </row>
        <row r="82">
          <cell r="B82">
            <v>29.18</v>
          </cell>
        </row>
        <row r="83">
          <cell r="A83" t="str">
            <v>FRONTIER 65+15</v>
          </cell>
          <cell r="B83">
            <v>30.63</v>
          </cell>
        </row>
        <row r="84">
          <cell r="B84">
            <v>30.63</v>
          </cell>
        </row>
        <row r="85">
          <cell r="B85">
            <v>30.63</v>
          </cell>
        </row>
        <row r="86">
          <cell r="B86">
            <v>30.63</v>
          </cell>
        </row>
        <row r="87">
          <cell r="A87" t="str">
            <v>FRONTIER 75+15</v>
          </cell>
          <cell r="B87">
            <v>30.75</v>
          </cell>
        </row>
        <row r="88">
          <cell r="B88">
            <v>30.75</v>
          </cell>
        </row>
        <row r="89">
          <cell r="B89">
            <v>30.75</v>
          </cell>
        </row>
        <row r="90">
          <cell r="A90" t="str">
            <v>FRONTIER 85+15</v>
          </cell>
          <cell r="B90">
            <v>31.42</v>
          </cell>
        </row>
        <row r="91">
          <cell r="A91" t="str">
            <v>LIBERTY  75+20</v>
          </cell>
          <cell r="B91">
            <v>43.17</v>
          </cell>
        </row>
        <row r="92">
          <cell r="B92">
            <v>43.17</v>
          </cell>
        </row>
        <row r="93">
          <cell r="B93">
            <v>43.17</v>
          </cell>
        </row>
        <row r="94">
          <cell r="A94" t="str">
            <v>LIBERTY ND 65+15</v>
          </cell>
          <cell r="B94">
            <v>40.08</v>
          </cell>
        </row>
        <row r="95">
          <cell r="A95" t="str">
            <v>SALIENT</v>
          </cell>
          <cell r="B95">
            <v>31.46</v>
          </cell>
        </row>
        <row r="96">
          <cell r="A96" t="str">
            <v>SARACEN</v>
          </cell>
          <cell r="B96">
            <v>53.52</v>
          </cell>
        </row>
        <row r="97">
          <cell r="A97" t="str">
            <v>SKYLINE ND 45</v>
          </cell>
          <cell r="B97">
            <v>23.44</v>
          </cell>
        </row>
        <row r="98">
          <cell r="B98">
            <v>23.44</v>
          </cell>
        </row>
        <row r="99">
          <cell r="B99">
            <v>23.44</v>
          </cell>
        </row>
        <row r="100">
          <cell r="B100">
            <v>23.44</v>
          </cell>
        </row>
        <row r="101">
          <cell r="A101" t="str">
            <v>SKYLINE ND 55</v>
          </cell>
          <cell r="B101">
            <v>24.61</v>
          </cell>
        </row>
        <row r="102">
          <cell r="B102">
            <v>24.61</v>
          </cell>
        </row>
        <row r="103">
          <cell r="A103" t="str">
            <v>SKYLINE 55</v>
          </cell>
          <cell r="B103">
            <v>25.51</v>
          </cell>
        </row>
        <row r="104">
          <cell r="B104">
            <v>25.51</v>
          </cell>
        </row>
        <row r="105">
          <cell r="B105">
            <v>25.51</v>
          </cell>
        </row>
        <row r="106">
          <cell r="B106">
            <v>25.51</v>
          </cell>
        </row>
        <row r="107">
          <cell r="B107">
            <v>25.51</v>
          </cell>
        </row>
        <row r="108">
          <cell r="A108" t="str">
            <v>SKYLINE 65</v>
          </cell>
          <cell r="B108">
            <v>26.24</v>
          </cell>
        </row>
        <row r="109">
          <cell r="B109">
            <v>26.24</v>
          </cell>
        </row>
        <row r="110">
          <cell r="B110">
            <v>26.24</v>
          </cell>
        </row>
        <row r="111">
          <cell r="B111">
            <v>26.24</v>
          </cell>
        </row>
        <row r="112">
          <cell r="A112" t="str">
            <v>VISION 25</v>
          </cell>
          <cell r="B112">
            <v>19.010000000000002</v>
          </cell>
        </row>
        <row r="113">
          <cell r="B113">
            <v>19.010000000000002</v>
          </cell>
        </row>
        <row r="114">
          <cell r="B114">
            <v>19.010000000000002</v>
          </cell>
        </row>
        <row r="115">
          <cell r="A115" t="str">
            <v>VISION 30</v>
          </cell>
          <cell r="B115">
            <v>19.43</v>
          </cell>
        </row>
        <row r="116">
          <cell r="B116">
            <v>19.43</v>
          </cell>
        </row>
        <row r="117">
          <cell r="B117">
            <v>19.43</v>
          </cell>
        </row>
        <row r="118">
          <cell r="B118">
            <v>19.43</v>
          </cell>
        </row>
        <row r="119">
          <cell r="B119">
            <v>19.43</v>
          </cell>
        </row>
        <row r="120">
          <cell r="A120" t="str">
            <v>VISION 35</v>
          </cell>
          <cell r="B120">
            <v>19.73</v>
          </cell>
        </row>
        <row r="121">
          <cell r="B121">
            <v>19.73</v>
          </cell>
        </row>
        <row r="122">
          <cell r="B122">
            <v>19.73</v>
          </cell>
        </row>
        <row r="123">
          <cell r="B123">
            <v>19.73</v>
          </cell>
        </row>
        <row r="124">
          <cell r="A124" t="str">
            <v>VISION 40</v>
          </cell>
          <cell r="B124">
            <v>20.21</v>
          </cell>
        </row>
        <row r="125">
          <cell r="B125">
            <v>20.21</v>
          </cell>
        </row>
        <row r="126">
          <cell r="B126">
            <v>20.21</v>
          </cell>
        </row>
        <row r="127">
          <cell r="A127" t="str">
            <v>WALKABOUT  ND 35 LFR</v>
          </cell>
          <cell r="B127">
            <v>16.5</v>
          </cell>
        </row>
        <row r="128">
          <cell r="A128" t="str">
            <v>WALKABOUT ND 37</v>
          </cell>
          <cell r="B128">
            <v>17.28</v>
          </cell>
        </row>
        <row r="129">
          <cell r="B129">
            <v>17.28</v>
          </cell>
        </row>
        <row r="130">
          <cell r="B130">
            <v>17.28</v>
          </cell>
        </row>
        <row r="131">
          <cell r="B131">
            <v>17.28</v>
          </cell>
        </row>
        <row r="132">
          <cell r="A132" t="str">
            <v>WALKABOUT 25</v>
          </cell>
          <cell r="B132">
            <v>16.22</v>
          </cell>
        </row>
        <row r="133">
          <cell r="B133">
            <v>16.22</v>
          </cell>
        </row>
        <row r="134">
          <cell r="A134" t="str">
            <v>WALKABOUT 27</v>
          </cell>
          <cell r="B134">
            <v>16.5</v>
          </cell>
        </row>
        <row r="135">
          <cell r="B135">
            <v>16.5</v>
          </cell>
        </row>
        <row r="136">
          <cell r="B136">
            <v>16.5</v>
          </cell>
        </row>
        <row r="137">
          <cell r="B137">
            <v>16.5</v>
          </cell>
        </row>
        <row r="138">
          <cell r="A138" t="str">
            <v>WALKABOUT 35</v>
          </cell>
          <cell r="B138">
            <v>17.13</v>
          </cell>
        </row>
        <row r="139">
          <cell r="B139">
            <v>17.13</v>
          </cell>
        </row>
        <row r="140">
          <cell r="A140" t="str">
            <v>WALKABOUT 35 LFR</v>
          </cell>
          <cell r="B140">
            <v>16.91</v>
          </cell>
        </row>
        <row r="141">
          <cell r="B141">
            <v>16.91</v>
          </cell>
        </row>
        <row r="142">
          <cell r="B142">
            <v>16.91</v>
          </cell>
        </row>
        <row r="143">
          <cell r="A143" t="str">
            <v>WALKABOUT 37</v>
          </cell>
          <cell r="B143">
            <v>17.309999999999999</v>
          </cell>
        </row>
        <row r="144">
          <cell r="B144">
            <v>17.309999999999999</v>
          </cell>
        </row>
        <row r="145">
          <cell r="B145">
            <v>17.309999999999999</v>
          </cell>
        </row>
        <row r="146">
          <cell r="B146">
            <v>17.309999999999999</v>
          </cell>
        </row>
        <row r="147">
          <cell r="A147" t="str">
            <v>WALKABOUT 45</v>
          </cell>
          <cell r="B147">
            <v>18.440000000000001</v>
          </cell>
        </row>
        <row r="148">
          <cell r="B148">
            <v>18.440000000000001</v>
          </cell>
        </row>
        <row r="149">
          <cell r="A149" t="str">
            <v>WALKABOUT 45 LFR</v>
          </cell>
          <cell r="B149">
            <v>17.559999999999999</v>
          </cell>
        </row>
        <row r="150">
          <cell r="A150" t="str">
            <v>WALKABOUT 47</v>
          </cell>
          <cell r="B150">
            <v>18.309999999999999</v>
          </cell>
        </row>
        <row r="151">
          <cell r="B151">
            <v>18.309999999999999</v>
          </cell>
        </row>
        <row r="152">
          <cell r="B152">
            <v>18.309999999999999</v>
          </cell>
        </row>
        <row r="153">
          <cell r="B153">
            <v>18.309999999999999</v>
          </cell>
        </row>
        <row r="154">
          <cell r="A154" t="str">
            <v>WALKABOUT  50 LFR</v>
          </cell>
          <cell r="B154">
            <v>19.8</v>
          </cell>
        </row>
        <row r="155">
          <cell r="B155">
            <v>19.8</v>
          </cell>
        </row>
        <row r="156">
          <cell r="B156">
            <v>19.8</v>
          </cell>
        </row>
        <row r="157">
          <cell r="B157">
            <v>19.8</v>
          </cell>
        </row>
        <row r="158">
          <cell r="A158" t="str">
            <v>APPALACHIAN TREKKER 70</v>
          </cell>
          <cell r="B158">
            <v>23.44</v>
          </cell>
        </row>
        <row r="159">
          <cell r="A159" t="str">
            <v xml:space="preserve"> KINNI  60</v>
          </cell>
          <cell r="B159">
            <v>24.69</v>
          </cell>
        </row>
        <row r="160">
          <cell r="A160" t="str">
            <v>INCA  70</v>
          </cell>
          <cell r="B160">
            <v>28</v>
          </cell>
        </row>
        <row r="161">
          <cell r="A161" t="str">
            <v>INCA  60</v>
          </cell>
          <cell r="B161">
            <v>27.27</v>
          </cell>
        </row>
        <row r="162">
          <cell r="A162" t="str">
            <v>KITBAG 120</v>
          </cell>
          <cell r="B162">
            <v>12.77</v>
          </cell>
        </row>
        <row r="163">
          <cell r="B163">
            <v>12.77</v>
          </cell>
        </row>
        <row r="164">
          <cell r="A164" t="str">
            <v>KITBAG 50</v>
          </cell>
          <cell r="B164">
            <v>9.5399999999999991</v>
          </cell>
        </row>
        <row r="165">
          <cell r="A165" t="str">
            <v>KITBAG 70</v>
          </cell>
          <cell r="B165">
            <v>10.6</v>
          </cell>
        </row>
        <row r="166">
          <cell r="A166" t="str">
            <v>KITBAG 90</v>
          </cell>
          <cell r="B166">
            <v>11.8</v>
          </cell>
        </row>
        <row r="167">
          <cell r="B167">
            <v>11.8</v>
          </cell>
        </row>
        <row r="168">
          <cell r="A168" t="str">
            <v>SHUTTLE (L) 75</v>
          </cell>
          <cell r="B168">
            <v>25.74</v>
          </cell>
        </row>
        <row r="169">
          <cell r="A169" t="str">
            <v>SHUTTLE (S) 65</v>
          </cell>
          <cell r="B169">
            <v>25.1</v>
          </cell>
        </row>
        <row r="170">
          <cell r="A170" t="str">
            <v>TRAVEL TREKKER 70</v>
          </cell>
          <cell r="B170">
            <v>34.18</v>
          </cell>
        </row>
        <row r="171">
          <cell r="A171" t="str">
            <v>TRAVEL TREKKER II 70</v>
          </cell>
          <cell r="B171">
            <v>37.869999999999997</v>
          </cell>
        </row>
        <row r="172">
          <cell r="B172">
            <v>37.869999999999997</v>
          </cell>
        </row>
        <row r="173">
          <cell r="A173" t="str">
            <v>TRAVEL TREKKER II ND 60</v>
          </cell>
          <cell r="B173">
            <v>36.47</v>
          </cell>
        </row>
        <row r="174">
          <cell r="B174">
            <v>36.47</v>
          </cell>
        </row>
        <row r="175">
          <cell r="A175" t="str">
            <v>TRAVEL TREKKER II 60</v>
          </cell>
          <cell r="B175">
            <v>37.36</v>
          </cell>
        </row>
        <row r="176">
          <cell r="B176">
            <v>37.36</v>
          </cell>
        </row>
        <row r="177">
          <cell r="A177" t="str">
            <v>TRAVEL TREKKER  ND 60</v>
          </cell>
          <cell r="B177">
            <v>32.71</v>
          </cell>
        </row>
        <row r="178">
          <cell r="B178">
            <v>32.71</v>
          </cell>
        </row>
        <row r="179">
          <cell r="A179" t="str">
            <v>VOYAGEUR 65</v>
          </cell>
          <cell r="B179">
            <v>35.409999999999997</v>
          </cell>
        </row>
        <row r="180">
          <cell r="A180" t="str">
            <v>WORLD TRAVELLER  65+10</v>
          </cell>
          <cell r="B180">
            <v>45.35</v>
          </cell>
        </row>
        <row r="181">
          <cell r="A181" t="str">
            <v>LIBERTY ND 60+15 LFR</v>
          </cell>
          <cell r="B181">
            <v>32.619999999999997</v>
          </cell>
        </row>
        <row r="182">
          <cell r="A182" t="str">
            <v>LIBERTY 70+20 LFR</v>
          </cell>
          <cell r="B182">
            <v>33.89</v>
          </cell>
        </row>
        <row r="183">
          <cell r="A183" t="str">
            <v>APPALACHIAN  TREKKER  ND 60</v>
          </cell>
          <cell r="B183">
            <v>22.48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MP MASTER"/>
      <sheetName val="SMS"/>
      <sheetName val="HIERARCHY KEY"/>
      <sheetName val="CANCELLATION HISTOR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General Info"/>
      <sheetName val="Financial Dashboard"/>
      <sheetName val="Master Line Plan"/>
      <sheetName val="02-Component Costing"/>
      <sheetName val="Costing Analysis"/>
      <sheetName val="Data Validation"/>
      <sheetName val="New Item Creation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C3" t="str">
            <v>Abyss</v>
          </cell>
        </row>
        <row r="4">
          <cell r="C4" t="str">
            <v>Alpine</v>
          </cell>
        </row>
        <row r="5">
          <cell r="C5" t="str">
            <v>Black</v>
          </cell>
        </row>
        <row r="6">
          <cell r="C6" t="str">
            <v>Black/Black</v>
          </cell>
        </row>
        <row r="7">
          <cell r="C7" t="str">
            <v>Blue Bird</v>
          </cell>
        </row>
        <row r="8">
          <cell r="C8" t="str">
            <v>Bronze</v>
          </cell>
        </row>
        <row r="9">
          <cell r="C9" t="str">
            <v>Charcoal</v>
          </cell>
        </row>
        <row r="10">
          <cell r="C10" t="str">
            <v>Coyote</v>
          </cell>
        </row>
        <row r="11">
          <cell r="C11" t="str">
            <v>Dijon</v>
          </cell>
        </row>
        <row r="12">
          <cell r="C12" t="str">
            <v>Evergreen</v>
          </cell>
        </row>
        <row r="13">
          <cell r="C13" t="str">
            <v>Fatigue</v>
          </cell>
        </row>
        <row r="14">
          <cell r="C14" t="str">
            <v>Foliage</v>
          </cell>
        </row>
        <row r="15">
          <cell r="C15" t="str">
            <v>Granite/Forest</v>
          </cell>
        </row>
        <row r="16">
          <cell r="C16" t="str">
            <v>Khaki/Mandarin</v>
          </cell>
        </row>
        <row r="17">
          <cell r="C17" t="str">
            <v>Midnight</v>
          </cell>
        </row>
        <row r="18">
          <cell r="C18" t="str">
            <v>Midnight/Ink</v>
          </cell>
        </row>
        <row r="19">
          <cell r="C19" t="str">
            <v>Multicam</v>
          </cell>
        </row>
        <row r="20">
          <cell r="C20" t="str">
            <v>Nightfall</v>
          </cell>
        </row>
        <row r="21">
          <cell r="C21" t="str">
            <v>OD/Fol</v>
          </cell>
        </row>
        <row r="22">
          <cell r="C22" t="str">
            <v>Oregano</v>
          </cell>
        </row>
        <row r="23">
          <cell r="C23" t="str">
            <v>Peacock</v>
          </cell>
        </row>
        <row r="24">
          <cell r="C24" t="str">
            <v>Plum</v>
          </cell>
        </row>
        <row r="25">
          <cell r="C25" t="str">
            <v>Rust/Ink</v>
          </cell>
        </row>
        <row r="26">
          <cell r="C26" t="str">
            <v>Sandstone/Forest</v>
          </cell>
        </row>
        <row r="27">
          <cell r="C27" t="str">
            <v>Steel</v>
          </cell>
        </row>
        <row r="28">
          <cell r="C28" t="str">
            <v>Wildfire</v>
          </cell>
        </row>
      </sheetData>
      <sheetData sheetId="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VENDOR_INSTRUCTIONS"/>
      <sheetName val="PRODLIST"/>
      <sheetName val="PRINTFORCOST"/>
      <sheetName val="Vend Name"/>
      <sheetName val="LU"/>
      <sheetName val="HIERARCHY K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ORDER DETAIL 2021"/>
      <sheetName val="ORDER SUMMARY 2020"/>
      <sheetName val="PRO PLAN 미지정"/>
      <sheetName val="ORDER LIST 2021 (T4)"/>
      <sheetName val="PRO CAPA"/>
      <sheetName val="W.REPORT-1"/>
      <sheetName val="W.REPORT-2"/>
      <sheetName val="PR SUMMARY"/>
      <sheetName val="PENDING"/>
      <sheetName val="PR FORMAT"/>
      <sheetName val="PI FORMAT"/>
      <sheetName val="ADD MTL FORMAT"/>
      <sheetName val="HIERARCHY KEY"/>
    </sheetNames>
    <sheetDataSet>
      <sheetData sheetId="0" refreshError="1"/>
      <sheetData sheetId="1" refreshError="1"/>
      <sheetData sheetId="2" refreshError="1"/>
      <sheetData sheetId="3" refreshError="1">
        <row r="1">
          <cell r="C1" t="str">
            <v>Month</v>
          </cell>
          <cell r="H1" t="str">
            <v xml:space="preserve">BUYER </v>
          </cell>
          <cell r="M1" t="str">
            <v>ORDER TYPE</v>
          </cell>
          <cell r="AB1" t="str">
            <v>TOTAL CMT</v>
          </cell>
          <cell r="AG1" t="str">
            <v>TOTAL FOB</v>
          </cell>
          <cell r="AS1" t="str">
            <v>Payment Date (1st)</v>
          </cell>
          <cell r="AU1" t="str">
            <v>Payment Amount (1st)</v>
          </cell>
          <cell r="AV1" t="str">
            <v>Payment Date (2nd)</v>
          </cell>
          <cell r="AX1" t="str">
            <v>Payment Amount (2nd)</v>
          </cell>
          <cell r="AY1" t="str">
            <v>Payment Date (3rd)</v>
          </cell>
          <cell r="BA1" t="str">
            <v>Payment Amount (3rd)</v>
          </cell>
          <cell r="BL1" t="str">
            <v>MTL TOTAL</v>
          </cell>
          <cell r="BQ1" t="str">
            <v>Shipping Amount</v>
          </cell>
        </row>
        <row r="2">
          <cell r="C2">
            <v>1</v>
          </cell>
          <cell r="H2" t="str">
            <v>ALPKIT</v>
          </cell>
          <cell r="M2" t="str">
            <v>ACCESSORY</v>
          </cell>
          <cell r="AB2">
            <v>0</v>
          </cell>
          <cell r="AG2">
            <v>40</v>
          </cell>
          <cell r="AS2">
            <v>44216</v>
          </cell>
          <cell r="AU2">
            <v>40</v>
          </cell>
          <cell r="AV2">
            <v>0</v>
          </cell>
          <cell r="AX2">
            <v>0</v>
          </cell>
          <cell r="AY2">
            <v>0</v>
          </cell>
          <cell r="BA2">
            <v>0</v>
          </cell>
          <cell r="BL2">
            <v>41.6</v>
          </cell>
          <cell r="BQ2">
            <v>40</v>
          </cell>
        </row>
        <row r="3">
          <cell r="C3">
            <v>2</v>
          </cell>
          <cell r="H3" t="str">
            <v>MOMENT</v>
          </cell>
          <cell r="M3" t="str">
            <v>TEST SMPL</v>
          </cell>
          <cell r="AB3">
            <v>34</v>
          </cell>
          <cell r="AG3">
            <v>379.36</v>
          </cell>
          <cell r="AS3">
            <v>44274</v>
          </cell>
          <cell r="AU3">
            <v>379.36</v>
          </cell>
          <cell r="AV3">
            <v>0</v>
          </cell>
          <cell r="AX3">
            <v>0</v>
          </cell>
          <cell r="AY3">
            <v>0</v>
          </cell>
          <cell r="BA3">
            <v>0</v>
          </cell>
          <cell r="BL3">
            <v>94.68825600000001</v>
          </cell>
          <cell r="BQ3">
            <v>379.36</v>
          </cell>
        </row>
        <row r="4">
          <cell r="C4">
            <v>2</v>
          </cell>
          <cell r="H4" t="str">
            <v>MOMENT</v>
          </cell>
          <cell r="M4" t="str">
            <v>TEST SMPL</v>
          </cell>
          <cell r="AB4">
            <v>51</v>
          </cell>
          <cell r="AG4">
            <v>536.64</v>
          </cell>
          <cell r="AS4">
            <v>44274</v>
          </cell>
          <cell r="AU4">
            <v>536.64</v>
          </cell>
          <cell r="AV4">
            <v>0</v>
          </cell>
          <cell r="AX4">
            <v>0</v>
          </cell>
          <cell r="AY4">
            <v>0</v>
          </cell>
          <cell r="BA4">
            <v>0</v>
          </cell>
          <cell r="BL4">
            <v>133.94534400000001</v>
          </cell>
          <cell r="BQ4">
            <v>536.64</v>
          </cell>
        </row>
        <row r="5">
          <cell r="C5">
            <v>2</v>
          </cell>
          <cell r="H5" t="str">
            <v>MOMENT</v>
          </cell>
          <cell r="M5" t="str">
            <v>TEST SMPL</v>
          </cell>
          <cell r="AB5">
            <v>1.4</v>
          </cell>
          <cell r="AG5">
            <v>28.88</v>
          </cell>
          <cell r="AS5">
            <v>44274</v>
          </cell>
          <cell r="AU5">
            <v>28.88</v>
          </cell>
          <cell r="AV5">
            <v>0</v>
          </cell>
          <cell r="AX5">
            <v>0</v>
          </cell>
          <cell r="AY5">
            <v>0</v>
          </cell>
          <cell r="BA5">
            <v>0</v>
          </cell>
          <cell r="BL5">
            <v>7.2084479999999997</v>
          </cell>
          <cell r="BQ5">
            <v>28.88</v>
          </cell>
        </row>
        <row r="6">
          <cell r="C6">
            <v>2</v>
          </cell>
          <cell r="H6" t="str">
            <v>MOMENT</v>
          </cell>
          <cell r="M6" t="str">
            <v>TEST SMPL</v>
          </cell>
          <cell r="AB6">
            <v>0.7</v>
          </cell>
          <cell r="AG6">
            <v>18.2</v>
          </cell>
          <cell r="AS6">
            <v>44274</v>
          </cell>
          <cell r="AU6">
            <v>18.2</v>
          </cell>
          <cell r="AV6">
            <v>0</v>
          </cell>
          <cell r="AX6">
            <v>0</v>
          </cell>
          <cell r="AY6">
            <v>0</v>
          </cell>
          <cell r="BA6">
            <v>0</v>
          </cell>
          <cell r="BL6">
            <v>4.5427200000000001</v>
          </cell>
          <cell r="BQ6">
            <v>18.2</v>
          </cell>
        </row>
        <row r="7">
          <cell r="C7">
            <v>2</v>
          </cell>
          <cell r="H7" t="str">
            <v>MOMENT</v>
          </cell>
          <cell r="M7" t="str">
            <v>TEST SMPL</v>
          </cell>
          <cell r="AB7">
            <v>3</v>
          </cell>
          <cell r="AG7">
            <v>23.76</v>
          </cell>
          <cell r="AS7">
            <v>44274</v>
          </cell>
          <cell r="AU7">
            <v>23.76</v>
          </cell>
          <cell r="AV7">
            <v>0</v>
          </cell>
          <cell r="AX7">
            <v>0</v>
          </cell>
          <cell r="AY7">
            <v>0</v>
          </cell>
          <cell r="BA7">
            <v>0</v>
          </cell>
          <cell r="BL7">
            <v>5.9304959999999998</v>
          </cell>
          <cell r="BQ7">
            <v>23.76</v>
          </cell>
        </row>
        <row r="8">
          <cell r="C8">
            <v>2</v>
          </cell>
          <cell r="H8" t="str">
            <v>MOMENT</v>
          </cell>
          <cell r="M8" t="str">
            <v>TEST SMPL</v>
          </cell>
          <cell r="AB8">
            <v>1.5</v>
          </cell>
          <cell r="AG8">
            <v>15.6</v>
          </cell>
          <cell r="AS8">
            <v>44274</v>
          </cell>
          <cell r="AU8">
            <v>15.6</v>
          </cell>
          <cell r="AV8">
            <v>0</v>
          </cell>
          <cell r="AX8">
            <v>0</v>
          </cell>
          <cell r="AY8">
            <v>0</v>
          </cell>
          <cell r="BA8">
            <v>0</v>
          </cell>
          <cell r="BL8">
            <v>3.8937600000000003</v>
          </cell>
          <cell r="BQ8">
            <v>15.6</v>
          </cell>
        </row>
        <row r="9">
          <cell r="C9">
            <v>2</v>
          </cell>
          <cell r="H9" t="str">
            <v>MOMENT</v>
          </cell>
          <cell r="M9" t="str">
            <v>TEST SMPL</v>
          </cell>
          <cell r="AB9">
            <v>3</v>
          </cell>
          <cell r="AG9">
            <v>47.96</v>
          </cell>
          <cell r="AS9">
            <v>44274</v>
          </cell>
          <cell r="AU9">
            <v>47.96</v>
          </cell>
          <cell r="AV9">
            <v>0</v>
          </cell>
          <cell r="AX9">
            <v>0</v>
          </cell>
          <cell r="AY9">
            <v>0</v>
          </cell>
          <cell r="BA9">
            <v>0</v>
          </cell>
          <cell r="BL9">
            <v>11.970816000000001</v>
          </cell>
          <cell r="BQ9">
            <v>47.96</v>
          </cell>
        </row>
        <row r="10">
          <cell r="C10">
            <v>2</v>
          </cell>
          <cell r="H10" t="str">
            <v>MOMENT</v>
          </cell>
          <cell r="M10" t="str">
            <v>TEST SMPL</v>
          </cell>
          <cell r="AB10">
            <v>12</v>
          </cell>
          <cell r="AG10">
            <v>215.04</v>
          </cell>
          <cell r="AS10">
            <v>44274</v>
          </cell>
          <cell r="AU10">
            <v>215.04</v>
          </cell>
          <cell r="AV10">
            <v>0</v>
          </cell>
          <cell r="AX10">
            <v>0</v>
          </cell>
          <cell r="AY10">
            <v>0</v>
          </cell>
          <cell r="BA10">
            <v>0</v>
          </cell>
          <cell r="BL10">
            <v>53.673983999999997</v>
          </cell>
          <cell r="BQ10">
            <v>215.04</v>
          </cell>
        </row>
        <row r="11">
          <cell r="C11">
            <v>2</v>
          </cell>
          <cell r="H11" t="str">
            <v>ALPKIT</v>
          </cell>
          <cell r="M11" t="str">
            <v>BULK</v>
          </cell>
          <cell r="AB11">
            <v>1311</v>
          </cell>
          <cell r="AG11">
            <v>3990</v>
          </cell>
          <cell r="AS11">
            <v>44173</v>
          </cell>
          <cell r="AU11">
            <v>1822.7</v>
          </cell>
          <cell r="AV11">
            <v>44293</v>
          </cell>
          <cell r="AX11">
            <v>2167.3000000000002</v>
          </cell>
          <cell r="AY11">
            <v>0</v>
          </cell>
          <cell r="BA11">
            <v>0</v>
          </cell>
          <cell r="BL11">
            <v>1906.3095999999998</v>
          </cell>
          <cell r="BQ11">
            <v>3990</v>
          </cell>
        </row>
        <row r="12">
          <cell r="C12">
            <v>2</v>
          </cell>
          <cell r="H12" t="str">
            <v>ALPKIT</v>
          </cell>
          <cell r="M12" t="str">
            <v>BULK</v>
          </cell>
          <cell r="AB12">
            <v>2001</v>
          </cell>
          <cell r="AG12">
            <v>6090</v>
          </cell>
          <cell r="AS12">
            <v>44174</v>
          </cell>
          <cell r="AU12">
            <v>2782.02</v>
          </cell>
          <cell r="AV12">
            <v>44293</v>
          </cell>
          <cell r="AX12">
            <v>3307.98</v>
          </cell>
          <cell r="AY12">
            <v>0</v>
          </cell>
          <cell r="BA12">
            <v>0</v>
          </cell>
          <cell r="BL12">
            <v>2858.3359999999993</v>
          </cell>
          <cell r="BQ12">
            <v>6090</v>
          </cell>
        </row>
        <row r="13">
          <cell r="C13">
            <v>4</v>
          </cell>
          <cell r="H13" t="str">
            <v>MOMENT</v>
          </cell>
          <cell r="M13" t="str">
            <v>SMS</v>
          </cell>
          <cell r="AB13">
            <v>25.5</v>
          </cell>
          <cell r="AG13">
            <v>284.52</v>
          </cell>
          <cell r="AS13">
            <v>44340</v>
          </cell>
          <cell r="AU13">
            <v>284.52</v>
          </cell>
          <cell r="AV13">
            <v>0</v>
          </cell>
          <cell r="AX13">
            <v>0</v>
          </cell>
          <cell r="AY13">
            <v>0</v>
          </cell>
          <cell r="BA13">
            <v>0</v>
          </cell>
          <cell r="BL13">
            <v>71.884799999999998</v>
          </cell>
          <cell r="BQ13">
            <v>284.52</v>
          </cell>
        </row>
        <row r="14">
          <cell r="C14">
            <v>4</v>
          </cell>
          <cell r="H14" t="str">
            <v>MOMENT</v>
          </cell>
          <cell r="M14" t="str">
            <v>SMS</v>
          </cell>
          <cell r="AB14">
            <v>17</v>
          </cell>
          <cell r="AG14">
            <v>189.68</v>
          </cell>
          <cell r="AS14">
            <v>44340</v>
          </cell>
          <cell r="AU14">
            <v>189.68</v>
          </cell>
          <cell r="AV14">
            <v>0</v>
          </cell>
          <cell r="AX14">
            <v>0</v>
          </cell>
          <cell r="AY14">
            <v>0</v>
          </cell>
          <cell r="BA14">
            <v>0</v>
          </cell>
          <cell r="BL14">
            <v>47.923199999999994</v>
          </cell>
          <cell r="BQ14">
            <v>189.68</v>
          </cell>
        </row>
        <row r="15">
          <cell r="C15">
            <v>4</v>
          </cell>
          <cell r="H15" t="str">
            <v>MOMENT</v>
          </cell>
          <cell r="M15" t="str">
            <v>SMS</v>
          </cell>
          <cell r="AB15">
            <v>17</v>
          </cell>
          <cell r="AG15">
            <v>189.68</v>
          </cell>
          <cell r="AS15">
            <v>44340</v>
          </cell>
          <cell r="AU15">
            <v>189.68</v>
          </cell>
          <cell r="AV15">
            <v>0</v>
          </cell>
          <cell r="AX15">
            <v>0</v>
          </cell>
          <cell r="AY15">
            <v>0</v>
          </cell>
          <cell r="BA15">
            <v>0</v>
          </cell>
          <cell r="BL15">
            <v>47.923199999999994</v>
          </cell>
          <cell r="BQ15">
            <v>189.68</v>
          </cell>
        </row>
        <row r="16">
          <cell r="C16">
            <v>4</v>
          </cell>
          <cell r="H16" t="str">
            <v>MOMENT</v>
          </cell>
          <cell r="M16" t="str">
            <v>SMS</v>
          </cell>
          <cell r="AB16">
            <v>93.5</v>
          </cell>
          <cell r="AG16">
            <v>1056</v>
          </cell>
          <cell r="AS16">
            <v>44340</v>
          </cell>
          <cell r="AU16">
            <v>1056</v>
          </cell>
          <cell r="AV16">
            <v>0</v>
          </cell>
          <cell r="AX16">
            <v>0</v>
          </cell>
          <cell r="AY16">
            <v>0</v>
          </cell>
          <cell r="BA16">
            <v>0</v>
          </cell>
          <cell r="BL16">
            <v>255.79839999999999</v>
          </cell>
          <cell r="BQ16">
            <v>1056</v>
          </cell>
        </row>
        <row r="17">
          <cell r="C17">
            <v>4</v>
          </cell>
          <cell r="H17" t="str">
            <v>MOMENT</v>
          </cell>
          <cell r="M17" t="str">
            <v>SMS</v>
          </cell>
          <cell r="AB17">
            <v>51</v>
          </cell>
          <cell r="AG17">
            <v>576</v>
          </cell>
          <cell r="AS17">
            <v>44340</v>
          </cell>
          <cell r="AU17">
            <v>576</v>
          </cell>
          <cell r="AV17">
            <v>0</v>
          </cell>
          <cell r="AX17">
            <v>0</v>
          </cell>
          <cell r="AY17">
            <v>0</v>
          </cell>
          <cell r="BA17">
            <v>0</v>
          </cell>
          <cell r="BL17">
            <v>139.5264</v>
          </cell>
          <cell r="BQ17">
            <v>576</v>
          </cell>
        </row>
        <row r="18">
          <cell r="C18">
            <v>4</v>
          </cell>
          <cell r="H18" t="str">
            <v>MOMENT</v>
          </cell>
          <cell r="M18" t="str">
            <v>SMS</v>
          </cell>
          <cell r="AB18">
            <v>51</v>
          </cell>
          <cell r="AG18">
            <v>576</v>
          </cell>
          <cell r="AS18">
            <v>44340</v>
          </cell>
          <cell r="AU18">
            <v>576</v>
          </cell>
          <cell r="AV18">
            <v>0</v>
          </cell>
          <cell r="AX18">
            <v>0</v>
          </cell>
          <cell r="AY18">
            <v>0</v>
          </cell>
          <cell r="BA18">
            <v>0</v>
          </cell>
          <cell r="BL18">
            <v>139.5264</v>
          </cell>
          <cell r="BQ18">
            <v>576</v>
          </cell>
        </row>
        <row r="19">
          <cell r="C19">
            <v>4</v>
          </cell>
          <cell r="H19" t="str">
            <v>MOMENT</v>
          </cell>
          <cell r="M19" t="str">
            <v>SMS</v>
          </cell>
          <cell r="AB19">
            <v>21</v>
          </cell>
          <cell r="AG19">
            <v>202.16</v>
          </cell>
          <cell r="AS19">
            <v>44340</v>
          </cell>
          <cell r="AU19">
            <v>202.16</v>
          </cell>
          <cell r="AV19">
            <v>0</v>
          </cell>
          <cell r="AX19">
            <v>0</v>
          </cell>
          <cell r="AY19">
            <v>0</v>
          </cell>
          <cell r="BA19">
            <v>0</v>
          </cell>
          <cell r="BL19">
            <v>48.339199999999991</v>
          </cell>
          <cell r="BQ19">
            <v>202.16</v>
          </cell>
        </row>
        <row r="20">
          <cell r="C20">
            <v>4</v>
          </cell>
          <cell r="H20" t="str">
            <v>MOMENT</v>
          </cell>
          <cell r="M20" t="str">
            <v>SMS</v>
          </cell>
          <cell r="AB20">
            <v>12</v>
          </cell>
          <cell r="AG20">
            <v>115.52</v>
          </cell>
          <cell r="AS20">
            <v>44340</v>
          </cell>
          <cell r="AU20">
            <v>115.52</v>
          </cell>
          <cell r="AV20">
            <v>0</v>
          </cell>
          <cell r="AX20">
            <v>0</v>
          </cell>
          <cell r="AY20">
            <v>0</v>
          </cell>
          <cell r="BA20">
            <v>0</v>
          </cell>
          <cell r="BL20">
            <v>27.622399999999999</v>
          </cell>
          <cell r="BQ20">
            <v>115.52</v>
          </cell>
        </row>
        <row r="21">
          <cell r="C21">
            <v>4</v>
          </cell>
          <cell r="H21" t="str">
            <v>MOMENT</v>
          </cell>
          <cell r="M21" t="str">
            <v>SMS</v>
          </cell>
          <cell r="AB21">
            <v>12</v>
          </cell>
          <cell r="AG21">
            <v>115.52</v>
          </cell>
          <cell r="AS21">
            <v>44340</v>
          </cell>
          <cell r="AU21">
            <v>115.52</v>
          </cell>
          <cell r="AV21">
            <v>0</v>
          </cell>
          <cell r="AX21">
            <v>0</v>
          </cell>
          <cell r="AY21">
            <v>0</v>
          </cell>
          <cell r="BA21">
            <v>0</v>
          </cell>
          <cell r="BL21">
            <v>27.622399999999999</v>
          </cell>
          <cell r="BQ21">
            <v>115.52</v>
          </cell>
        </row>
        <row r="22">
          <cell r="C22">
            <v>4</v>
          </cell>
          <cell r="H22" t="str">
            <v>MOMENT</v>
          </cell>
          <cell r="M22" t="str">
            <v>SMS</v>
          </cell>
          <cell r="AB22">
            <v>21</v>
          </cell>
          <cell r="AG22">
            <v>729</v>
          </cell>
          <cell r="AS22">
            <v>44340</v>
          </cell>
          <cell r="AU22">
            <v>729</v>
          </cell>
          <cell r="AV22">
            <v>0</v>
          </cell>
          <cell r="AX22">
            <v>0</v>
          </cell>
          <cell r="AY22">
            <v>0</v>
          </cell>
          <cell r="BA22">
            <v>0</v>
          </cell>
          <cell r="BL22">
            <v>189.69600000000003</v>
          </cell>
          <cell r="BQ22">
            <v>729</v>
          </cell>
        </row>
        <row r="23">
          <cell r="C23">
            <v>4</v>
          </cell>
          <cell r="H23" t="str">
            <v>ALPKIT</v>
          </cell>
          <cell r="M23" t="str">
            <v>BULK</v>
          </cell>
          <cell r="AB23">
            <v>1380</v>
          </cell>
          <cell r="AG23">
            <v>4200</v>
          </cell>
          <cell r="AS23">
            <v>44186</v>
          </cell>
          <cell r="AU23">
            <v>788.42209631728042</v>
          </cell>
          <cell r="AV23">
            <v>44370</v>
          </cell>
          <cell r="AX23">
            <v>1311.5779036827196</v>
          </cell>
          <cell r="AY23">
            <v>44419</v>
          </cell>
          <cell r="BA23">
            <v>2100</v>
          </cell>
          <cell r="BL23">
            <v>1971.268</v>
          </cell>
          <cell r="BQ23">
            <v>4200</v>
          </cell>
        </row>
        <row r="24">
          <cell r="C24">
            <v>4</v>
          </cell>
          <cell r="H24" t="str">
            <v>ALPKIT</v>
          </cell>
          <cell r="M24" t="str">
            <v>BULK</v>
          </cell>
          <cell r="AB24">
            <v>1380</v>
          </cell>
          <cell r="AG24">
            <v>4200</v>
          </cell>
          <cell r="AS24">
            <v>44186</v>
          </cell>
          <cell r="AU24">
            <v>788.42209631728042</v>
          </cell>
          <cell r="AV24">
            <v>44370</v>
          </cell>
          <cell r="AX24">
            <v>1311.5779036827196</v>
          </cell>
          <cell r="AY24">
            <v>44419</v>
          </cell>
          <cell r="BA24">
            <v>2100</v>
          </cell>
          <cell r="BL24">
            <v>1971.268</v>
          </cell>
          <cell r="BQ24">
            <v>4200</v>
          </cell>
        </row>
        <row r="25">
          <cell r="C25">
            <v>4</v>
          </cell>
          <cell r="H25" t="str">
            <v>ALPKIT</v>
          </cell>
          <cell r="M25" t="str">
            <v>BULK</v>
          </cell>
          <cell r="AB25">
            <v>733.5</v>
          </cell>
          <cell r="AG25">
            <v>2454</v>
          </cell>
          <cell r="AS25">
            <v>44186</v>
          </cell>
          <cell r="AU25">
            <v>460.66376770538238</v>
          </cell>
          <cell r="AV25">
            <v>44370</v>
          </cell>
          <cell r="AX25">
            <v>766.33623229461762</v>
          </cell>
          <cell r="AY25">
            <v>44419</v>
          </cell>
          <cell r="BA25">
            <v>1227</v>
          </cell>
          <cell r="BL25">
            <v>1192.2143999999998</v>
          </cell>
          <cell r="BQ25">
            <v>2454</v>
          </cell>
        </row>
        <row r="26">
          <cell r="C26">
            <v>4</v>
          </cell>
          <cell r="H26" t="str">
            <v>ALPKIT</v>
          </cell>
          <cell r="M26" t="str">
            <v>BULK</v>
          </cell>
          <cell r="AB26">
            <v>733.5</v>
          </cell>
          <cell r="AG26">
            <v>2454</v>
          </cell>
          <cell r="AS26">
            <v>44186</v>
          </cell>
          <cell r="AU26">
            <v>460.66376770538238</v>
          </cell>
          <cell r="AV26">
            <v>44370</v>
          </cell>
          <cell r="AX26">
            <v>766.33623229461762</v>
          </cell>
          <cell r="AY26">
            <v>44419</v>
          </cell>
          <cell r="BA26">
            <v>1227</v>
          </cell>
          <cell r="BL26">
            <v>1195.1472000000001</v>
          </cell>
          <cell r="BQ26">
            <v>2454</v>
          </cell>
        </row>
        <row r="27">
          <cell r="C27">
            <v>4</v>
          </cell>
          <cell r="H27" t="str">
            <v>ALPKIT</v>
          </cell>
          <cell r="M27" t="str">
            <v>BULK</v>
          </cell>
          <cell r="AB27">
            <v>550.5</v>
          </cell>
          <cell r="AG27">
            <v>2025</v>
          </cell>
          <cell r="AS27">
            <v>44186</v>
          </cell>
          <cell r="AU27">
            <v>380.13208215297448</v>
          </cell>
          <cell r="AV27">
            <v>44370</v>
          </cell>
          <cell r="AX27">
            <v>632.36791784702552</v>
          </cell>
          <cell r="AY27">
            <v>44419</v>
          </cell>
          <cell r="BA27">
            <v>1012.5</v>
          </cell>
          <cell r="BL27">
            <v>1003.4023999999999</v>
          </cell>
          <cell r="BQ27">
            <v>2025</v>
          </cell>
        </row>
        <row r="28">
          <cell r="C28">
            <v>4</v>
          </cell>
          <cell r="H28" t="str">
            <v>ALPKIT</v>
          </cell>
          <cell r="M28" t="str">
            <v>BULK</v>
          </cell>
          <cell r="AB28">
            <v>550.5</v>
          </cell>
          <cell r="AG28">
            <v>2025</v>
          </cell>
          <cell r="AS28">
            <v>44186</v>
          </cell>
          <cell r="AU28">
            <v>380.13208215297448</v>
          </cell>
          <cell r="AV28">
            <v>44370</v>
          </cell>
          <cell r="AX28">
            <v>632.36791784702552</v>
          </cell>
          <cell r="AY28">
            <v>44419</v>
          </cell>
          <cell r="BA28">
            <v>1012.5</v>
          </cell>
          <cell r="BL28">
            <v>1003.4023999999999</v>
          </cell>
          <cell r="BQ28">
            <v>2025</v>
          </cell>
        </row>
        <row r="29">
          <cell r="C29">
            <v>4</v>
          </cell>
          <cell r="H29" t="str">
            <v>ALPKIT</v>
          </cell>
          <cell r="M29" t="str">
            <v>BULK</v>
          </cell>
          <cell r="AB29">
            <v>1222.5</v>
          </cell>
          <cell r="AG29">
            <v>4095</v>
          </cell>
          <cell r="AS29">
            <v>44186</v>
          </cell>
          <cell r="AU29">
            <v>768.71154390934839</v>
          </cell>
          <cell r="AV29">
            <v>44370</v>
          </cell>
          <cell r="AX29">
            <v>1278.7884560906516</v>
          </cell>
          <cell r="AY29">
            <v>44419</v>
          </cell>
          <cell r="BA29">
            <v>2047.5</v>
          </cell>
          <cell r="BL29">
            <v>2041.2808</v>
          </cell>
          <cell r="BQ29">
            <v>4095</v>
          </cell>
        </row>
        <row r="30">
          <cell r="C30">
            <v>4</v>
          </cell>
          <cell r="H30" t="str">
            <v>ALPKIT</v>
          </cell>
          <cell r="M30" t="str">
            <v>BULK</v>
          </cell>
          <cell r="AB30">
            <v>1222.5</v>
          </cell>
          <cell r="AG30">
            <v>4095</v>
          </cell>
          <cell r="AS30">
            <v>44186</v>
          </cell>
          <cell r="AU30">
            <v>768.71154390934839</v>
          </cell>
          <cell r="AV30">
            <v>44370</v>
          </cell>
          <cell r="AX30">
            <v>1278.7884560906516</v>
          </cell>
          <cell r="AY30">
            <v>44419</v>
          </cell>
          <cell r="BA30">
            <v>2047.5</v>
          </cell>
          <cell r="BL30">
            <v>2041.2808</v>
          </cell>
          <cell r="BQ30">
            <v>4095</v>
          </cell>
        </row>
        <row r="31">
          <cell r="C31">
            <v>4</v>
          </cell>
          <cell r="H31" t="str">
            <v>ALPKIT</v>
          </cell>
          <cell r="M31" t="str">
            <v>BULK</v>
          </cell>
          <cell r="AB31">
            <v>1140</v>
          </cell>
          <cell r="AG31">
            <v>3975</v>
          </cell>
          <cell r="AS31">
            <v>44186</v>
          </cell>
          <cell r="AU31">
            <v>746.18519830028322</v>
          </cell>
          <cell r="AV31">
            <v>44370</v>
          </cell>
          <cell r="AX31">
            <v>1241.3148016997168</v>
          </cell>
          <cell r="AY31">
            <v>44419</v>
          </cell>
          <cell r="BA31">
            <v>1987.5</v>
          </cell>
          <cell r="BL31">
            <v>1831.1279999999997</v>
          </cell>
          <cell r="BQ31">
            <v>3975</v>
          </cell>
        </row>
        <row r="32">
          <cell r="C32">
            <v>4</v>
          </cell>
          <cell r="H32" t="str">
            <v>ALPKIT</v>
          </cell>
          <cell r="M32" t="str">
            <v>BULK</v>
          </cell>
          <cell r="AB32">
            <v>1140</v>
          </cell>
          <cell r="AG32">
            <v>3975</v>
          </cell>
          <cell r="AS32">
            <v>44186</v>
          </cell>
          <cell r="AU32">
            <v>746.18519830028322</v>
          </cell>
          <cell r="AV32">
            <v>44370</v>
          </cell>
          <cell r="AX32">
            <v>1241.3148016997168</v>
          </cell>
          <cell r="AY32">
            <v>44419</v>
          </cell>
          <cell r="BA32">
            <v>1987.5</v>
          </cell>
          <cell r="BL32">
            <v>1831.1279999999997</v>
          </cell>
          <cell r="BQ32">
            <v>3975</v>
          </cell>
        </row>
        <row r="33">
          <cell r="C33">
            <v>4</v>
          </cell>
          <cell r="H33" t="str">
            <v>ALPKIT</v>
          </cell>
          <cell r="M33" t="str">
            <v>BULK</v>
          </cell>
          <cell r="AB33">
            <v>1830</v>
          </cell>
          <cell r="AG33">
            <v>6548.9999999999991</v>
          </cell>
          <cell r="AS33">
            <v>44186</v>
          </cell>
          <cell r="AU33">
            <v>1229.3753116147307</v>
          </cell>
          <cell r="AV33">
            <v>44370</v>
          </cell>
          <cell r="AX33">
            <v>2045.1246883852689</v>
          </cell>
          <cell r="AY33">
            <v>44419</v>
          </cell>
          <cell r="BA33">
            <v>3274.4999999999995</v>
          </cell>
          <cell r="BL33">
            <v>2950.7712000000001</v>
          </cell>
          <cell r="BQ33">
            <v>6548.9999999999991</v>
          </cell>
        </row>
        <row r="34">
          <cell r="C34">
            <v>4</v>
          </cell>
          <cell r="H34" t="str">
            <v>ALPKIT</v>
          </cell>
          <cell r="M34" t="str">
            <v>BULK</v>
          </cell>
          <cell r="AB34">
            <v>1830</v>
          </cell>
          <cell r="AG34">
            <v>6548.9999999999991</v>
          </cell>
          <cell r="AS34">
            <v>44186</v>
          </cell>
          <cell r="AU34">
            <v>1229.3753116147307</v>
          </cell>
          <cell r="AV34">
            <v>44370</v>
          </cell>
          <cell r="AX34">
            <v>2045.1246883852689</v>
          </cell>
          <cell r="AY34">
            <v>44419</v>
          </cell>
          <cell r="BA34">
            <v>3274.4999999999995</v>
          </cell>
          <cell r="BL34">
            <v>2950.7712000000001</v>
          </cell>
          <cell r="BQ34">
            <v>6548.9999999999991</v>
          </cell>
        </row>
        <row r="35">
          <cell r="C35">
            <v>4</v>
          </cell>
          <cell r="H35" t="str">
            <v>GMPC</v>
          </cell>
          <cell r="M35" t="str">
            <v>BULK</v>
          </cell>
          <cell r="AB35">
            <v>1669.2</v>
          </cell>
          <cell r="AG35">
            <v>7372.3</v>
          </cell>
          <cell r="AS35">
            <v>44356</v>
          </cell>
          <cell r="AU35">
            <v>7361.7</v>
          </cell>
          <cell r="AV35">
            <v>0</v>
          </cell>
          <cell r="AX35">
            <v>0</v>
          </cell>
          <cell r="AY35">
            <v>0</v>
          </cell>
          <cell r="BA35">
            <v>0</v>
          </cell>
          <cell r="BL35">
            <v>4040.30827652174</v>
          </cell>
          <cell r="BQ35">
            <v>7361.7</v>
          </cell>
        </row>
        <row r="36">
          <cell r="C36">
            <v>4</v>
          </cell>
          <cell r="H36" t="str">
            <v>GMPC</v>
          </cell>
          <cell r="M36" t="str">
            <v>BULK</v>
          </cell>
          <cell r="AB36">
            <v>300</v>
          </cell>
          <cell r="AG36">
            <v>1325</v>
          </cell>
          <cell r="AS36">
            <v>44343</v>
          </cell>
          <cell r="AU36">
            <v>1325</v>
          </cell>
          <cell r="AV36">
            <v>0</v>
          </cell>
          <cell r="AX36">
            <v>0</v>
          </cell>
          <cell r="AY36">
            <v>0</v>
          </cell>
          <cell r="BA36">
            <v>0</v>
          </cell>
          <cell r="BL36">
            <v>726.15173913043486</v>
          </cell>
          <cell r="BQ36">
            <v>1325</v>
          </cell>
        </row>
        <row r="37">
          <cell r="C37">
            <v>3</v>
          </cell>
          <cell r="H37" t="str">
            <v>MOMENT</v>
          </cell>
          <cell r="M37" t="str">
            <v>BULK</v>
          </cell>
          <cell r="AB37">
            <v>2790</v>
          </cell>
          <cell r="AG37">
            <v>15039</v>
          </cell>
          <cell r="AS37">
            <v>44404</v>
          </cell>
          <cell r="AU37">
            <v>15039</v>
          </cell>
          <cell r="AV37">
            <v>0</v>
          </cell>
          <cell r="AX37">
            <v>0</v>
          </cell>
          <cell r="AY37">
            <v>0</v>
          </cell>
          <cell r="BA37">
            <v>0</v>
          </cell>
          <cell r="BL37">
            <v>8424.5720000000001</v>
          </cell>
          <cell r="BQ37">
            <v>0</v>
          </cell>
        </row>
        <row r="38">
          <cell r="C38">
            <v>3</v>
          </cell>
          <cell r="H38" t="str">
            <v>MOMENT</v>
          </cell>
          <cell r="M38" t="str">
            <v>BULK</v>
          </cell>
          <cell r="AB38">
            <v>2790</v>
          </cell>
          <cell r="AG38">
            <v>15039</v>
          </cell>
          <cell r="AS38">
            <v>44404</v>
          </cell>
          <cell r="AU38">
            <v>15039</v>
          </cell>
          <cell r="AV38">
            <v>0</v>
          </cell>
          <cell r="AX38">
            <v>0</v>
          </cell>
          <cell r="AY38">
            <v>0</v>
          </cell>
          <cell r="BA38">
            <v>0</v>
          </cell>
          <cell r="BL38">
            <v>8424.5720000000001</v>
          </cell>
          <cell r="BQ38">
            <v>0</v>
          </cell>
        </row>
        <row r="39">
          <cell r="C39">
            <v>3</v>
          </cell>
          <cell r="H39" t="str">
            <v>MOMENT</v>
          </cell>
          <cell r="M39" t="str">
            <v>BULK</v>
          </cell>
          <cell r="AB39">
            <v>3190</v>
          </cell>
          <cell r="AG39">
            <v>16401</v>
          </cell>
          <cell r="AS39">
            <v>44404</v>
          </cell>
          <cell r="AU39">
            <v>16401</v>
          </cell>
          <cell r="AV39">
            <v>0</v>
          </cell>
          <cell r="AX39">
            <v>0</v>
          </cell>
          <cell r="AY39">
            <v>0</v>
          </cell>
          <cell r="BA39">
            <v>0</v>
          </cell>
          <cell r="BL39">
            <v>8849.8799999999992</v>
          </cell>
          <cell r="BQ39">
            <v>0</v>
          </cell>
        </row>
        <row r="40">
          <cell r="C40">
            <v>3</v>
          </cell>
          <cell r="H40" t="str">
            <v>MOMENT</v>
          </cell>
          <cell r="M40" t="str">
            <v>BULK</v>
          </cell>
          <cell r="AB40">
            <v>3190</v>
          </cell>
          <cell r="AG40">
            <v>16401</v>
          </cell>
          <cell r="AS40">
            <v>44404</v>
          </cell>
          <cell r="AU40">
            <v>16401</v>
          </cell>
          <cell r="AV40">
            <v>0</v>
          </cell>
          <cell r="AX40">
            <v>0</v>
          </cell>
          <cell r="AY40">
            <v>0</v>
          </cell>
          <cell r="BA40">
            <v>0</v>
          </cell>
          <cell r="BL40">
            <v>8849.8799999999992</v>
          </cell>
          <cell r="BQ40">
            <v>0</v>
          </cell>
        </row>
        <row r="41">
          <cell r="C41">
            <v>5</v>
          </cell>
          <cell r="H41" t="str">
            <v>MOMENT</v>
          </cell>
          <cell r="M41" t="str">
            <v>BULK</v>
          </cell>
          <cell r="AB41">
            <v>2040</v>
          </cell>
          <cell r="AG41">
            <v>11380.800000000001</v>
          </cell>
          <cell r="AS41">
            <v>44404</v>
          </cell>
          <cell r="AU41">
            <v>11380.800000000001</v>
          </cell>
          <cell r="AV41">
            <v>0</v>
          </cell>
          <cell r="AX41">
            <v>0</v>
          </cell>
          <cell r="AY41">
            <v>0</v>
          </cell>
          <cell r="BA41">
            <v>0</v>
          </cell>
          <cell r="BL41">
            <v>5750.7839999999997</v>
          </cell>
          <cell r="BQ41">
            <v>0</v>
          </cell>
        </row>
        <row r="42">
          <cell r="C42">
            <v>5</v>
          </cell>
          <cell r="H42" t="str">
            <v>MOMENT</v>
          </cell>
          <cell r="M42" t="str">
            <v>BULK</v>
          </cell>
          <cell r="AB42">
            <v>2040</v>
          </cell>
          <cell r="AG42">
            <v>11520</v>
          </cell>
          <cell r="AS42">
            <v>44404</v>
          </cell>
          <cell r="AU42">
            <v>11520</v>
          </cell>
          <cell r="AV42">
            <v>0</v>
          </cell>
          <cell r="AX42">
            <v>0</v>
          </cell>
          <cell r="AY42">
            <v>0</v>
          </cell>
          <cell r="BA42">
            <v>0</v>
          </cell>
          <cell r="BL42">
            <v>5581.0559999999996</v>
          </cell>
          <cell r="BQ42">
            <v>0</v>
          </cell>
        </row>
        <row r="43">
          <cell r="C43">
            <v>5</v>
          </cell>
          <cell r="H43" t="str">
            <v>MOMENT</v>
          </cell>
          <cell r="M43" t="str">
            <v>BULK</v>
          </cell>
          <cell r="AB43">
            <v>2040</v>
          </cell>
          <cell r="AG43">
            <v>11380.800000000001</v>
          </cell>
          <cell r="AS43">
            <v>44404</v>
          </cell>
          <cell r="AU43">
            <v>11380.800000000001</v>
          </cell>
          <cell r="AV43">
            <v>0</v>
          </cell>
          <cell r="AX43">
            <v>0</v>
          </cell>
          <cell r="AY43">
            <v>0</v>
          </cell>
          <cell r="BA43">
            <v>0</v>
          </cell>
          <cell r="BL43">
            <v>5750.7839999999997</v>
          </cell>
          <cell r="BQ43">
            <v>0</v>
          </cell>
        </row>
        <row r="44">
          <cell r="C44">
            <v>5</v>
          </cell>
          <cell r="H44" t="str">
            <v>MOMENT</v>
          </cell>
          <cell r="M44" t="str">
            <v>BULK</v>
          </cell>
          <cell r="AB44">
            <v>2040</v>
          </cell>
          <cell r="AG44">
            <v>11520</v>
          </cell>
          <cell r="AS44">
            <v>44404</v>
          </cell>
          <cell r="AU44">
            <v>11520</v>
          </cell>
          <cell r="AV44">
            <v>0</v>
          </cell>
          <cell r="AX44">
            <v>0</v>
          </cell>
          <cell r="AY44">
            <v>0</v>
          </cell>
          <cell r="BA44">
            <v>0</v>
          </cell>
          <cell r="BL44">
            <v>5581.0559999999996</v>
          </cell>
          <cell r="BQ44">
            <v>0</v>
          </cell>
        </row>
        <row r="45">
          <cell r="C45">
            <v>5</v>
          </cell>
          <cell r="H45" t="str">
            <v>MOMENT</v>
          </cell>
          <cell r="M45" t="str">
            <v>BULK</v>
          </cell>
          <cell r="AB45">
            <v>750</v>
          </cell>
          <cell r="AG45">
            <v>3610</v>
          </cell>
          <cell r="AS45">
            <v>44404</v>
          </cell>
          <cell r="AU45">
            <v>3610</v>
          </cell>
          <cell r="AV45">
            <v>0</v>
          </cell>
          <cell r="AX45">
            <v>0</v>
          </cell>
          <cell r="AY45">
            <v>0</v>
          </cell>
          <cell r="BA45">
            <v>0</v>
          </cell>
          <cell r="BL45">
            <v>1726.3999999999999</v>
          </cell>
          <cell r="BQ45">
            <v>0</v>
          </cell>
        </row>
        <row r="46">
          <cell r="C46">
            <v>5</v>
          </cell>
          <cell r="H46" t="str">
            <v>MOMENT</v>
          </cell>
          <cell r="M46" t="str">
            <v>BULK</v>
          </cell>
          <cell r="AB46">
            <v>750</v>
          </cell>
          <cell r="AG46">
            <v>3610</v>
          </cell>
          <cell r="AS46">
            <v>44404</v>
          </cell>
          <cell r="AU46">
            <v>3610</v>
          </cell>
          <cell r="AV46">
            <v>0</v>
          </cell>
          <cell r="AX46">
            <v>0</v>
          </cell>
          <cell r="AY46">
            <v>0</v>
          </cell>
          <cell r="BA46">
            <v>0</v>
          </cell>
          <cell r="BL46">
            <v>1726.3999999999999</v>
          </cell>
          <cell r="BQ46">
            <v>0</v>
          </cell>
        </row>
        <row r="47">
          <cell r="C47">
            <v>5</v>
          </cell>
          <cell r="H47" t="str">
            <v>MOMENT</v>
          </cell>
          <cell r="M47" t="str">
            <v>BULK</v>
          </cell>
          <cell r="AB47">
            <v>700</v>
          </cell>
          <cell r="AG47">
            <v>12150</v>
          </cell>
          <cell r="AS47">
            <v>44404</v>
          </cell>
          <cell r="AU47">
            <v>12150</v>
          </cell>
          <cell r="AV47">
            <v>0</v>
          </cell>
          <cell r="AX47">
            <v>0</v>
          </cell>
          <cell r="AY47">
            <v>0</v>
          </cell>
          <cell r="BA47">
            <v>0</v>
          </cell>
          <cell r="BL47">
            <v>6323.2</v>
          </cell>
          <cell r="BQ47">
            <v>0</v>
          </cell>
        </row>
        <row r="48">
          <cell r="C48">
            <v>5</v>
          </cell>
          <cell r="H48" t="str">
            <v>BLAUER</v>
          </cell>
          <cell r="M48" t="str">
            <v>BULK</v>
          </cell>
          <cell r="AB48">
            <v>4500</v>
          </cell>
          <cell r="AG48">
            <v>19470</v>
          </cell>
          <cell r="AS48">
            <v>44276</v>
          </cell>
          <cell r="AU48">
            <v>9734.0933975985117</v>
          </cell>
          <cell r="AV48">
            <v>44344</v>
          </cell>
          <cell r="AX48">
            <v>9735.9066024014883</v>
          </cell>
          <cell r="AY48">
            <v>0</v>
          </cell>
          <cell r="BA48">
            <v>0</v>
          </cell>
          <cell r="BL48">
            <v>10489.44</v>
          </cell>
          <cell r="BQ48">
            <v>0</v>
          </cell>
        </row>
        <row r="49">
          <cell r="C49">
            <v>5</v>
          </cell>
          <cell r="H49" t="str">
            <v>BLAUER</v>
          </cell>
          <cell r="M49" t="str">
            <v>BULK</v>
          </cell>
          <cell r="AB49">
            <v>15750</v>
          </cell>
          <cell r="AG49">
            <v>69225</v>
          </cell>
          <cell r="AS49">
            <v>44276</v>
          </cell>
          <cell r="AU49">
            <v>34609.276602401493</v>
          </cell>
          <cell r="AV49">
            <v>44344</v>
          </cell>
          <cell r="AX49">
            <v>34615.723397598507</v>
          </cell>
          <cell r="AY49">
            <v>0</v>
          </cell>
          <cell r="BA49">
            <v>0</v>
          </cell>
          <cell r="BL49">
            <v>33752.160000000003</v>
          </cell>
          <cell r="BQ49">
            <v>0</v>
          </cell>
        </row>
        <row r="50">
          <cell r="C50">
            <v>7</v>
          </cell>
          <cell r="H50" t="str">
            <v>GEIST</v>
          </cell>
          <cell r="M50" t="str">
            <v>BULK</v>
          </cell>
          <cell r="AB50">
            <v>5100</v>
          </cell>
          <cell r="AG50">
            <v>25785</v>
          </cell>
          <cell r="AS50">
            <v>44274</v>
          </cell>
          <cell r="AU50">
            <v>13534.361114063991</v>
          </cell>
          <cell r="AV50">
            <v>44407</v>
          </cell>
          <cell r="AX50">
            <v>12250.638885936009</v>
          </cell>
          <cell r="AY50">
            <v>0</v>
          </cell>
          <cell r="BA50">
            <v>0</v>
          </cell>
          <cell r="BL50">
            <v>13537.68</v>
          </cell>
          <cell r="BQ50">
            <v>0</v>
          </cell>
        </row>
        <row r="51">
          <cell r="C51">
            <v>7</v>
          </cell>
          <cell r="H51" t="str">
            <v>GEIST</v>
          </cell>
          <cell r="M51" t="str">
            <v>BULK</v>
          </cell>
          <cell r="AB51">
            <v>5100</v>
          </cell>
          <cell r="AG51">
            <v>22917</v>
          </cell>
          <cell r="AS51">
            <v>44274</v>
          </cell>
          <cell r="AU51">
            <v>12028.968534070369</v>
          </cell>
          <cell r="AV51">
            <v>44407</v>
          </cell>
          <cell r="AX51">
            <v>10888.031465929631</v>
          </cell>
          <cell r="AY51">
            <v>0</v>
          </cell>
          <cell r="BA51">
            <v>0</v>
          </cell>
          <cell r="BL51">
            <v>11406.720000000001</v>
          </cell>
          <cell r="BQ51">
            <v>0</v>
          </cell>
        </row>
        <row r="52">
          <cell r="C52">
            <v>7</v>
          </cell>
          <cell r="H52" t="str">
            <v>GEIST</v>
          </cell>
          <cell r="M52" t="str">
            <v>BULK</v>
          </cell>
          <cell r="AB52">
            <v>615</v>
          </cell>
          <cell r="AG52">
            <v>2535</v>
          </cell>
          <cell r="AS52">
            <v>44274</v>
          </cell>
          <cell r="AU52">
            <v>1330.6032741575418</v>
          </cell>
          <cell r="AV52">
            <v>44407</v>
          </cell>
          <cell r="AX52">
            <v>1204.3967258424582</v>
          </cell>
          <cell r="AY52">
            <v>0</v>
          </cell>
          <cell r="BA52">
            <v>0</v>
          </cell>
          <cell r="BL52">
            <v>1153.04592</v>
          </cell>
          <cell r="BQ52">
            <v>0</v>
          </cell>
        </row>
        <row r="53">
          <cell r="C53">
            <v>7</v>
          </cell>
          <cell r="H53" t="str">
            <v>GEIST</v>
          </cell>
          <cell r="M53" t="str">
            <v>BULK</v>
          </cell>
          <cell r="AB53">
            <v>615</v>
          </cell>
          <cell r="AG53">
            <v>2601</v>
          </cell>
          <cell r="AS53">
            <v>44274</v>
          </cell>
          <cell r="AU53">
            <v>1365.2461996385666</v>
          </cell>
          <cell r="AV53">
            <v>44407</v>
          </cell>
          <cell r="AX53">
            <v>1235.7538003614334</v>
          </cell>
          <cell r="AY53">
            <v>0</v>
          </cell>
          <cell r="BA53">
            <v>0</v>
          </cell>
          <cell r="BL53">
            <v>1153.04592</v>
          </cell>
          <cell r="BQ53">
            <v>0</v>
          </cell>
        </row>
        <row r="54">
          <cell r="C54">
            <v>7</v>
          </cell>
          <cell r="H54" t="str">
            <v>GEIST</v>
          </cell>
          <cell r="M54" t="str">
            <v>BULK</v>
          </cell>
          <cell r="AB54">
            <v>900</v>
          </cell>
          <cell r="AG54">
            <v>10185</v>
          </cell>
          <cell r="AS54">
            <v>44274</v>
          </cell>
          <cell r="AU54">
            <v>5346.0332730945029</v>
          </cell>
          <cell r="AV54">
            <v>44407</v>
          </cell>
          <cell r="AX54">
            <v>4838.9667269054971</v>
          </cell>
          <cell r="AY54">
            <v>0</v>
          </cell>
          <cell r="BA54">
            <v>0</v>
          </cell>
          <cell r="BL54">
            <v>6234.0676021276613</v>
          </cell>
          <cell r="BQ54">
            <v>0</v>
          </cell>
        </row>
        <row r="55">
          <cell r="C55">
            <v>7</v>
          </cell>
          <cell r="H55" t="str">
            <v>GEIST</v>
          </cell>
          <cell r="M55" t="str">
            <v>BULK</v>
          </cell>
          <cell r="AB55">
            <v>900</v>
          </cell>
          <cell r="AG55">
            <v>9489</v>
          </cell>
          <cell r="AS55">
            <v>44274</v>
          </cell>
          <cell r="AU55">
            <v>4980.7078771127872</v>
          </cell>
          <cell r="AV55">
            <v>44407</v>
          </cell>
          <cell r="AX55">
            <v>4508.2921228872128</v>
          </cell>
          <cell r="AY55">
            <v>0</v>
          </cell>
          <cell r="BA55">
            <v>0</v>
          </cell>
          <cell r="BL55">
            <v>5849.5588021276599</v>
          </cell>
          <cell r="BQ55">
            <v>0</v>
          </cell>
        </row>
        <row r="56">
          <cell r="C56">
            <v>7</v>
          </cell>
          <cell r="H56" t="str">
            <v>GEIST</v>
          </cell>
          <cell r="M56" t="str">
            <v>BULK</v>
          </cell>
          <cell r="AB56">
            <v>1452</v>
          </cell>
          <cell r="AG56">
            <v>8973</v>
          </cell>
          <cell r="AS56">
            <v>44274</v>
          </cell>
          <cell r="AU56">
            <v>4709.8631869884111</v>
          </cell>
          <cell r="AV56">
            <v>44407</v>
          </cell>
          <cell r="AX56">
            <v>4263.1368130115889</v>
          </cell>
          <cell r="AY56">
            <v>0</v>
          </cell>
          <cell r="BA56">
            <v>0</v>
          </cell>
          <cell r="BL56">
            <v>4980.0428655319156</v>
          </cell>
          <cell r="BQ56">
            <v>0</v>
          </cell>
        </row>
        <row r="57">
          <cell r="C57">
            <v>7</v>
          </cell>
          <cell r="H57" t="str">
            <v>GEIST</v>
          </cell>
          <cell r="M57" t="str">
            <v>BULK</v>
          </cell>
          <cell r="AB57">
            <v>1452</v>
          </cell>
          <cell r="AG57">
            <v>8091</v>
          </cell>
          <cell r="AS57">
            <v>44274</v>
          </cell>
          <cell r="AU57">
            <v>4246.9077282874441</v>
          </cell>
          <cell r="AV57">
            <v>44407</v>
          </cell>
          <cell r="AX57">
            <v>3844.0922717125559</v>
          </cell>
          <cell r="AY57">
            <v>0</v>
          </cell>
          <cell r="BA57">
            <v>0</v>
          </cell>
          <cell r="BL57">
            <v>4339.0148415319145</v>
          </cell>
          <cell r="BQ57">
            <v>0</v>
          </cell>
        </row>
        <row r="58">
          <cell r="C58">
            <v>7</v>
          </cell>
          <cell r="H58" t="str">
            <v>GEIST</v>
          </cell>
          <cell r="M58" t="str">
            <v>BULK</v>
          </cell>
          <cell r="AB58">
            <v>1440</v>
          </cell>
          <cell r="AG58">
            <v>11808</v>
          </cell>
          <cell r="AS58">
            <v>44274</v>
          </cell>
          <cell r="AU58">
            <v>6197.9343042415203</v>
          </cell>
          <cell r="AV58">
            <v>44407</v>
          </cell>
          <cell r="AX58">
            <v>5610.0656957584797</v>
          </cell>
          <cell r="AY58">
            <v>0</v>
          </cell>
          <cell r="BA58">
            <v>0</v>
          </cell>
          <cell r="BL58">
            <v>7204.067953894838</v>
          </cell>
          <cell r="BQ58">
            <v>0</v>
          </cell>
        </row>
        <row r="59">
          <cell r="C59">
            <v>7</v>
          </cell>
          <cell r="H59" t="str">
            <v>GEIST</v>
          </cell>
          <cell r="M59" t="str">
            <v>BULK</v>
          </cell>
          <cell r="AB59">
            <v>1440</v>
          </cell>
          <cell r="AG59">
            <v>10500</v>
          </cell>
          <cell r="AS59">
            <v>44274</v>
          </cell>
          <cell r="AU59">
            <v>5511.3745083448475</v>
          </cell>
          <cell r="AV59">
            <v>44407</v>
          </cell>
          <cell r="AX59">
            <v>4988.6254916551525</v>
          </cell>
          <cell r="AY59">
            <v>0</v>
          </cell>
          <cell r="BA59">
            <v>0</v>
          </cell>
          <cell r="BL59">
            <v>6251.5943538948377</v>
          </cell>
          <cell r="BQ59">
            <v>0</v>
          </cell>
        </row>
        <row r="60">
          <cell r="C60">
            <v>7</v>
          </cell>
          <cell r="H60" t="str">
            <v>PNW</v>
          </cell>
          <cell r="M60" t="str">
            <v>BULK</v>
          </cell>
          <cell r="AB60">
            <v>5000</v>
          </cell>
          <cell r="AG60">
            <v>23950</v>
          </cell>
          <cell r="AS60">
            <v>44282</v>
          </cell>
          <cell r="AU60">
            <v>11858.333333333334</v>
          </cell>
          <cell r="AV60">
            <v>44407</v>
          </cell>
          <cell r="AX60">
            <v>12091.666666666666</v>
          </cell>
          <cell r="AY60">
            <v>0</v>
          </cell>
          <cell r="BA60">
            <v>0</v>
          </cell>
          <cell r="BL60">
            <v>11515.864798827117</v>
          </cell>
          <cell r="BQ60">
            <v>0</v>
          </cell>
        </row>
        <row r="61">
          <cell r="C61">
            <v>7</v>
          </cell>
          <cell r="H61" t="str">
            <v>PNW</v>
          </cell>
          <cell r="M61" t="str">
            <v>BULK</v>
          </cell>
          <cell r="AB61">
            <v>2500</v>
          </cell>
          <cell r="AG61">
            <v>11975</v>
          </cell>
          <cell r="AS61">
            <v>44282</v>
          </cell>
          <cell r="AU61">
            <v>5929.166666666667</v>
          </cell>
          <cell r="AV61">
            <v>44407</v>
          </cell>
          <cell r="AX61">
            <v>6045.833333333333</v>
          </cell>
          <cell r="AY61">
            <v>0</v>
          </cell>
          <cell r="BA61">
            <v>0</v>
          </cell>
          <cell r="BL61">
            <v>5757.9323994135584</v>
          </cell>
          <cell r="BQ61">
            <v>0</v>
          </cell>
        </row>
        <row r="62">
          <cell r="C62">
            <v>7</v>
          </cell>
          <cell r="H62" t="str">
            <v>MOMENT</v>
          </cell>
          <cell r="M62" t="str">
            <v>BULK</v>
          </cell>
          <cell r="AB62">
            <v>3480</v>
          </cell>
          <cell r="AG62">
            <v>11690</v>
          </cell>
          <cell r="AS62">
            <v>44448</v>
          </cell>
          <cell r="AU62">
            <v>11690</v>
          </cell>
          <cell r="AV62">
            <v>0</v>
          </cell>
          <cell r="AX62">
            <v>0</v>
          </cell>
          <cell r="AY62">
            <v>0</v>
          </cell>
          <cell r="BA62">
            <v>0</v>
          </cell>
          <cell r="BL62">
            <v>5716.5035200000002</v>
          </cell>
          <cell r="BQ62">
            <v>0</v>
          </cell>
        </row>
        <row r="63">
          <cell r="C63">
            <v>7</v>
          </cell>
          <cell r="H63" t="str">
            <v>MOMENT</v>
          </cell>
          <cell r="M63" t="str">
            <v>BULK</v>
          </cell>
          <cell r="AB63">
            <v>3480</v>
          </cell>
          <cell r="AG63">
            <v>11210</v>
          </cell>
          <cell r="AS63">
            <v>44448</v>
          </cell>
          <cell r="AU63">
            <v>11210</v>
          </cell>
          <cell r="AV63">
            <v>0</v>
          </cell>
          <cell r="AX63">
            <v>0</v>
          </cell>
          <cell r="AY63">
            <v>0</v>
          </cell>
          <cell r="BA63">
            <v>0</v>
          </cell>
          <cell r="BL63">
            <v>5481.7796800000015</v>
          </cell>
          <cell r="BQ63">
            <v>0</v>
          </cell>
        </row>
        <row r="64">
          <cell r="C64">
            <v>7</v>
          </cell>
          <cell r="H64" t="str">
            <v>MOMENT</v>
          </cell>
          <cell r="M64" t="str">
            <v>BULK</v>
          </cell>
          <cell r="AB64">
            <v>1740</v>
          </cell>
          <cell r="AG64">
            <v>5845</v>
          </cell>
          <cell r="AS64">
            <v>44448</v>
          </cell>
          <cell r="AU64">
            <v>5845</v>
          </cell>
          <cell r="AV64">
            <v>0</v>
          </cell>
          <cell r="AX64">
            <v>0</v>
          </cell>
          <cell r="AY64">
            <v>0</v>
          </cell>
          <cell r="BA64">
            <v>0</v>
          </cell>
          <cell r="BL64">
            <v>2858.2517600000001</v>
          </cell>
          <cell r="BQ64">
            <v>0</v>
          </cell>
        </row>
        <row r="65">
          <cell r="C65">
            <v>7</v>
          </cell>
          <cell r="H65" t="str">
            <v>MOMENT</v>
          </cell>
          <cell r="M65" t="str">
            <v>BULK</v>
          </cell>
          <cell r="AB65">
            <v>1740</v>
          </cell>
          <cell r="AG65">
            <v>5845</v>
          </cell>
          <cell r="AS65">
            <v>44448</v>
          </cell>
          <cell r="AU65">
            <v>5845</v>
          </cell>
          <cell r="AV65">
            <v>0</v>
          </cell>
          <cell r="AX65">
            <v>0</v>
          </cell>
          <cell r="AY65">
            <v>0</v>
          </cell>
          <cell r="BA65">
            <v>0</v>
          </cell>
          <cell r="BL65">
            <v>2858.2517600000001</v>
          </cell>
          <cell r="BQ65">
            <v>0</v>
          </cell>
        </row>
        <row r="66">
          <cell r="C66">
            <v>8</v>
          </cell>
          <cell r="H66" t="str">
            <v>MOMENT</v>
          </cell>
          <cell r="M66" t="str">
            <v>BULK</v>
          </cell>
          <cell r="AB66">
            <v>2205</v>
          </cell>
          <cell r="AG66">
            <v>10437</v>
          </cell>
          <cell r="AS66">
            <v>44448</v>
          </cell>
          <cell r="AU66">
            <v>10437</v>
          </cell>
          <cell r="AV66">
            <v>0</v>
          </cell>
          <cell r="AX66">
            <v>0</v>
          </cell>
          <cell r="AY66">
            <v>0</v>
          </cell>
          <cell r="BA66">
            <v>0</v>
          </cell>
          <cell r="BL66">
            <v>5103.7764959999995</v>
          </cell>
          <cell r="BQ66">
            <v>0</v>
          </cell>
        </row>
        <row r="67">
          <cell r="C67">
            <v>8</v>
          </cell>
          <cell r="H67" t="str">
            <v>MOMENT</v>
          </cell>
          <cell r="M67" t="str">
            <v>BULK</v>
          </cell>
          <cell r="AB67">
            <v>1675</v>
          </cell>
          <cell r="AG67">
            <v>8355</v>
          </cell>
          <cell r="AS67">
            <v>44448</v>
          </cell>
          <cell r="AU67">
            <v>8355</v>
          </cell>
          <cell r="AV67">
            <v>0</v>
          </cell>
          <cell r="AX67">
            <v>0</v>
          </cell>
          <cell r="AY67">
            <v>0</v>
          </cell>
          <cell r="BA67">
            <v>0</v>
          </cell>
          <cell r="BL67">
            <v>4085.6618400000002</v>
          </cell>
          <cell r="BQ67">
            <v>0</v>
          </cell>
        </row>
        <row r="68">
          <cell r="C68">
            <v>8</v>
          </cell>
          <cell r="H68" t="str">
            <v>HAVEN</v>
          </cell>
          <cell r="M68" t="str">
            <v>BULK</v>
          </cell>
          <cell r="AB68">
            <v>7200</v>
          </cell>
          <cell r="AG68">
            <v>30732</v>
          </cell>
          <cell r="AS68">
            <v>44330</v>
          </cell>
          <cell r="AU68">
            <v>15366</v>
          </cell>
          <cell r="AV68">
            <v>44415</v>
          </cell>
          <cell r="AX68">
            <v>15366</v>
          </cell>
          <cell r="AY68">
            <v>0</v>
          </cell>
          <cell r="BA68">
            <v>0</v>
          </cell>
          <cell r="BL68">
            <v>14137.343999999997</v>
          </cell>
          <cell r="BQ68">
            <v>0</v>
          </cell>
        </row>
        <row r="69">
          <cell r="C69">
            <v>8</v>
          </cell>
          <cell r="H69" t="str">
            <v>HAVEN</v>
          </cell>
          <cell r="M69" t="str">
            <v>BULK</v>
          </cell>
          <cell r="AB69">
            <v>6600</v>
          </cell>
          <cell r="AG69">
            <v>27522</v>
          </cell>
          <cell r="AS69">
            <v>44330</v>
          </cell>
          <cell r="AU69">
            <v>13761</v>
          </cell>
          <cell r="AV69">
            <v>44415</v>
          </cell>
          <cell r="AX69">
            <v>13761</v>
          </cell>
          <cell r="AY69">
            <v>0</v>
          </cell>
          <cell r="BA69">
            <v>0</v>
          </cell>
          <cell r="BL69">
            <v>10574.928</v>
          </cell>
          <cell r="BQ69">
            <v>0</v>
          </cell>
        </row>
        <row r="70">
          <cell r="C70">
            <v>6</v>
          </cell>
          <cell r="H70" t="str">
            <v>HAVEN</v>
          </cell>
          <cell r="M70" t="str">
            <v>SMS</v>
          </cell>
          <cell r="AB70">
            <v>144</v>
          </cell>
          <cell r="AG70">
            <v>1229.28</v>
          </cell>
          <cell r="AS70">
            <v>44330</v>
          </cell>
          <cell r="AU70">
            <v>1229.28</v>
          </cell>
          <cell r="AV70">
            <v>0</v>
          </cell>
          <cell r="AX70">
            <v>0</v>
          </cell>
          <cell r="AY70">
            <v>0</v>
          </cell>
          <cell r="BA70">
            <v>0</v>
          </cell>
          <cell r="BL70">
            <v>282.74687999999998</v>
          </cell>
          <cell r="BQ70">
            <v>0</v>
          </cell>
        </row>
        <row r="71">
          <cell r="C71">
            <v>8</v>
          </cell>
          <cell r="H71" t="str">
            <v>ALWAYS UP</v>
          </cell>
          <cell r="M71" t="str">
            <v>FORECAST</v>
          </cell>
          <cell r="AB71">
            <v>2100</v>
          </cell>
          <cell r="AG71">
            <v>8498</v>
          </cell>
          <cell r="AS71">
            <v>0</v>
          </cell>
          <cell r="AU71">
            <v>0</v>
          </cell>
          <cell r="AV71">
            <v>0</v>
          </cell>
          <cell r="AX71">
            <v>0</v>
          </cell>
          <cell r="AY71">
            <v>0</v>
          </cell>
          <cell r="BA71">
            <v>0</v>
          </cell>
          <cell r="BL71">
            <v>3705.52</v>
          </cell>
          <cell r="BQ71">
            <v>0</v>
          </cell>
        </row>
        <row r="72">
          <cell r="C72">
            <v>8</v>
          </cell>
          <cell r="H72" t="str">
            <v>ALWAYS UP</v>
          </cell>
          <cell r="M72" t="str">
            <v>FORECAST</v>
          </cell>
          <cell r="AB72">
            <v>1959.9999999999998</v>
          </cell>
          <cell r="AG72">
            <v>7075.6</v>
          </cell>
          <cell r="AS72">
            <v>0</v>
          </cell>
          <cell r="AU72">
            <v>0</v>
          </cell>
          <cell r="AV72">
            <v>0</v>
          </cell>
          <cell r="AX72">
            <v>0</v>
          </cell>
          <cell r="AY72">
            <v>0</v>
          </cell>
          <cell r="BA72">
            <v>0</v>
          </cell>
          <cell r="BL72">
            <v>2964.4160000000002</v>
          </cell>
          <cell r="BQ72">
            <v>0</v>
          </cell>
        </row>
        <row r="73">
          <cell r="C73">
            <v>8</v>
          </cell>
          <cell r="H73" t="str">
            <v>ALWAYS UP</v>
          </cell>
          <cell r="M73" t="str">
            <v>FORECAST</v>
          </cell>
          <cell r="AB73">
            <v>1750</v>
          </cell>
          <cell r="AG73">
            <v>6165</v>
          </cell>
          <cell r="AS73">
            <v>0</v>
          </cell>
          <cell r="AU73">
            <v>0</v>
          </cell>
          <cell r="AV73">
            <v>0</v>
          </cell>
          <cell r="AX73">
            <v>0</v>
          </cell>
          <cell r="AY73">
            <v>0</v>
          </cell>
          <cell r="BA73">
            <v>0</v>
          </cell>
          <cell r="BL73">
            <v>2470</v>
          </cell>
          <cell r="BQ73">
            <v>0</v>
          </cell>
        </row>
        <row r="74">
          <cell r="C74">
            <v>8</v>
          </cell>
          <cell r="H74" t="str">
            <v>ALWAYS UP</v>
          </cell>
          <cell r="M74" t="str">
            <v>FORECAST</v>
          </cell>
          <cell r="AB74">
            <v>1750</v>
          </cell>
          <cell r="AG74">
            <v>5885</v>
          </cell>
          <cell r="AS74">
            <v>0</v>
          </cell>
          <cell r="AU74">
            <v>0</v>
          </cell>
          <cell r="AV74">
            <v>0</v>
          </cell>
          <cell r="AX74">
            <v>0</v>
          </cell>
          <cell r="AY74">
            <v>0</v>
          </cell>
          <cell r="BA74">
            <v>0</v>
          </cell>
          <cell r="BL74">
            <v>2282.7999999999997</v>
          </cell>
          <cell r="BQ74">
            <v>0</v>
          </cell>
        </row>
        <row r="75">
          <cell r="C75">
            <v>7</v>
          </cell>
          <cell r="H75" t="str">
            <v>ADV</v>
          </cell>
          <cell r="M75" t="str">
            <v>SMS</v>
          </cell>
          <cell r="AB75">
            <v>66.599999999999994</v>
          </cell>
          <cell r="AG75">
            <v>578.64</v>
          </cell>
          <cell r="AS75">
            <v>0</v>
          </cell>
          <cell r="AU75">
            <v>0</v>
          </cell>
          <cell r="AV75">
            <v>0</v>
          </cell>
          <cell r="AX75">
            <v>0</v>
          </cell>
          <cell r="AY75">
            <v>0</v>
          </cell>
          <cell r="BA75">
            <v>0</v>
          </cell>
          <cell r="BL75">
            <v>124.78751999999999</v>
          </cell>
          <cell r="BQ75">
            <v>0</v>
          </cell>
        </row>
        <row r="76">
          <cell r="C76">
            <v>7</v>
          </cell>
          <cell r="H76" t="str">
            <v>ADV</v>
          </cell>
          <cell r="M76" t="str">
            <v>SMS</v>
          </cell>
          <cell r="AB76">
            <v>66.599999999999994</v>
          </cell>
          <cell r="AG76">
            <v>578.64</v>
          </cell>
          <cell r="AS76">
            <v>0</v>
          </cell>
          <cell r="AU76">
            <v>0</v>
          </cell>
          <cell r="AV76">
            <v>0</v>
          </cell>
          <cell r="AX76">
            <v>0</v>
          </cell>
          <cell r="AY76">
            <v>0</v>
          </cell>
          <cell r="BA76">
            <v>0</v>
          </cell>
          <cell r="BL76">
            <v>124.78751999999999</v>
          </cell>
          <cell r="BQ76">
            <v>0</v>
          </cell>
        </row>
        <row r="77">
          <cell r="C77">
            <v>11</v>
          </cell>
          <cell r="H77" t="str">
            <v>ADV</v>
          </cell>
          <cell r="M77" t="str">
            <v>BULK</v>
          </cell>
          <cell r="AB77">
            <v>3330</v>
          </cell>
          <cell r="AG77">
            <v>14466</v>
          </cell>
          <cell r="AS77">
            <v>0</v>
          </cell>
          <cell r="AU77">
            <v>0</v>
          </cell>
          <cell r="AV77">
            <v>0</v>
          </cell>
          <cell r="AX77">
            <v>0</v>
          </cell>
          <cell r="AY77">
            <v>0</v>
          </cell>
          <cell r="BA77">
            <v>0</v>
          </cell>
          <cell r="BL77">
            <v>6239.3760000000002</v>
          </cell>
          <cell r="BQ77">
            <v>0</v>
          </cell>
        </row>
        <row r="78">
          <cell r="C78">
            <v>11</v>
          </cell>
          <cell r="H78" t="str">
            <v>ADV</v>
          </cell>
          <cell r="M78" t="str">
            <v>BULK</v>
          </cell>
          <cell r="AB78">
            <v>3330</v>
          </cell>
          <cell r="AG78">
            <v>14466</v>
          </cell>
          <cell r="AS78">
            <v>0</v>
          </cell>
          <cell r="AU78">
            <v>0</v>
          </cell>
          <cell r="AV78">
            <v>0</v>
          </cell>
          <cell r="AX78">
            <v>0</v>
          </cell>
          <cell r="AY78">
            <v>0</v>
          </cell>
          <cell r="BA78">
            <v>0</v>
          </cell>
          <cell r="BL78">
            <v>6239.3760000000002</v>
          </cell>
          <cell r="BQ78">
            <v>0</v>
          </cell>
        </row>
        <row r="79">
          <cell r="C79">
            <v>8</v>
          </cell>
          <cell r="H79" t="str">
            <v>SLOPE</v>
          </cell>
          <cell r="M79" t="str">
            <v>FORECAST</v>
          </cell>
          <cell r="AB79">
            <v>5000</v>
          </cell>
          <cell r="AG79">
            <v>20000</v>
          </cell>
          <cell r="AS79">
            <v>0</v>
          </cell>
          <cell r="AU79">
            <v>0</v>
          </cell>
          <cell r="AV79">
            <v>0</v>
          </cell>
          <cell r="AX79">
            <v>0</v>
          </cell>
          <cell r="AY79">
            <v>0</v>
          </cell>
          <cell r="BA79">
            <v>0</v>
          </cell>
          <cell r="BL79">
            <v>9360</v>
          </cell>
          <cell r="BQ79">
            <v>0</v>
          </cell>
        </row>
        <row r="80">
          <cell r="C80">
            <v>9</v>
          </cell>
          <cell r="H80" t="str">
            <v>CANNAE</v>
          </cell>
          <cell r="M80" t="str">
            <v>FORECAST</v>
          </cell>
          <cell r="AB80">
            <v>18750</v>
          </cell>
          <cell r="AG80">
            <v>69750</v>
          </cell>
          <cell r="AS80">
            <v>0</v>
          </cell>
          <cell r="AU80">
            <v>0</v>
          </cell>
          <cell r="AV80">
            <v>0</v>
          </cell>
          <cell r="AX80">
            <v>0</v>
          </cell>
          <cell r="AY80">
            <v>0</v>
          </cell>
          <cell r="BA80">
            <v>0</v>
          </cell>
          <cell r="BL80">
            <v>33223.32</v>
          </cell>
          <cell r="BQ80">
            <v>0</v>
          </cell>
        </row>
        <row r="81">
          <cell r="C81">
            <v>9</v>
          </cell>
          <cell r="H81" t="str">
            <v>CANNAE</v>
          </cell>
          <cell r="M81" t="str">
            <v>FORECAST</v>
          </cell>
          <cell r="AB81">
            <v>12750</v>
          </cell>
          <cell r="AG81">
            <v>50850</v>
          </cell>
          <cell r="AS81">
            <v>0</v>
          </cell>
          <cell r="AU81">
            <v>0</v>
          </cell>
          <cell r="AV81">
            <v>0</v>
          </cell>
          <cell r="AX81">
            <v>0</v>
          </cell>
          <cell r="AY81">
            <v>0</v>
          </cell>
          <cell r="BA81">
            <v>0</v>
          </cell>
          <cell r="BL81">
            <v>24843</v>
          </cell>
          <cell r="BQ81">
            <v>0</v>
          </cell>
        </row>
        <row r="82">
          <cell r="C82">
            <v>9</v>
          </cell>
          <cell r="H82" t="str">
            <v>CANNAE</v>
          </cell>
          <cell r="M82" t="str">
            <v>FORECAST</v>
          </cell>
          <cell r="AB82">
            <v>1740</v>
          </cell>
          <cell r="AG82">
            <v>5200</v>
          </cell>
          <cell r="AS82">
            <v>0</v>
          </cell>
          <cell r="AU82">
            <v>0</v>
          </cell>
          <cell r="AV82">
            <v>0</v>
          </cell>
          <cell r="AX82">
            <v>0</v>
          </cell>
          <cell r="AY82">
            <v>0</v>
          </cell>
          <cell r="BA82">
            <v>0</v>
          </cell>
          <cell r="BL82">
            <v>1770.08</v>
          </cell>
          <cell r="BQ82">
            <v>0</v>
          </cell>
        </row>
        <row r="83">
          <cell r="C83">
            <v>9</v>
          </cell>
          <cell r="H83" t="str">
            <v>CANNAE</v>
          </cell>
          <cell r="M83" t="str">
            <v>FORECAST</v>
          </cell>
          <cell r="AB83">
            <v>3600</v>
          </cell>
          <cell r="AG83">
            <v>11400</v>
          </cell>
          <cell r="AS83">
            <v>0</v>
          </cell>
          <cell r="AU83">
            <v>0</v>
          </cell>
          <cell r="AV83">
            <v>0</v>
          </cell>
          <cell r="AX83">
            <v>0</v>
          </cell>
          <cell r="AY83">
            <v>0</v>
          </cell>
          <cell r="BA83">
            <v>0</v>
          </cell>
          <cell r="BL83">
            <v>4707.04</v>
          </cell>
          <cell r="BQ83">
            <v>0</v>
          </cell>
        </row>
        <row r="84">
          <cell r="C84">
            <v>9</v>
          </cell>
          <cell r="H84" t="str">
            <v>CANNAE</v>
          </cell>
          <cell r="M84" t="str">
            <v>FORECAST</v>
          </cell>
          <cell r="AB84">
            <v>2660</v>
          </cell>
          <cell r="AG84">
            <v>8600</v>
          </cell>
          <cell r="AS84">
            <v>0</v>
          </cell>
          <cell r="AU84">
            <v>0</v>
          </cell>
          <cell r="AV84">
            <v>0</v>
          </cell>
          <cell r="AX84">
            <v>0</v>
          </cell>
          <cell r="AY84">
            <v>0</v>
          </cell>
          <cell r="BA84">
            <v>0</v>
          </cell>
          <cell r="BL84">
            <v>4089.28</v>
          </cell>
          <cell r="BQ84">
            <v>0</v>
          </cell>
        </row>
        <row r="85">
          <cell r="C85">
            <v>9</v>
          </cell>
          <cell r="H85" t="str">
            <v>SLOPE</v>
          </cell>
          <cell r="M85" t="str">
            <v>FORECAST</v>
          </cell>
          <cell r="AB85">
            <v>0</v>
          </cell>
          <cell r="AG85">
            <v>18000</v>
          </cell>
          <cell r="AS85">
            <v>0</v>
          </cell>
          <cell r="AU85">
            <v>0</v>
          </cell>
          <cell r="AV85">
            <v>0</v>
          </cell>
          <cell r="AX85">
            <v>0</v>
          </cell>
          <cell r="AY85">
            <v>0</v>
          </cell>
          <cell r="BA85">
            <v>0</v>
          </cell>
          <cell r="BL85">
            <v>0</v>
          </cell>
          <cell r="BQ85">
            <v>0</v>
          </cell>
        </row>
        <row r="86">
          <cell r="C86">
            <v>9</v>
          </cell>
          <cell r="H86" t="str">
            <v>SLOPE</v>
          </cell>
          <cell r="M86" t="str">
            <v>FORECAST</v>
          </cell>
          <cell r="AB86">
            <v>0</v>
          </cell>
          <cell r="AG86">
            <v>25000</v>
          </cell>
          <cell r="AS86">
            <v>0</v>
          </cell>
          <cell r="AU86">
            <v>0</v>
          </cell>
          <cell r="AV86">
            <v>0</v>
          </cell>
          <cell r="AX86">
            <v>0</v>
          </cell>
          <cell r="AY86">
            <v>0</v>
          </cell>
          <cell r="BA86">
            <v>0</v>
          </cell>
          <cell r="BL86">
            <v>0</v>
          </cell>
          <cell r="BQ86">
            <v>0</v>
          </cell>
        </row>
        <row r="87">
          <cell r="C87">
            <v>9</v>
          </cell>
          <cell r="H87" t="str">
            <v>SLOPE</v>
          </cell>
          <cell r="M87" t="str">
            <v>FORECAST</v>
          </cell>
          <cell r="AB87">
            <v>0</v>
          </cell>
          <cell r="AG87">
            <v>10000</v>
          </cell>
          <cell r="AS87">
            <v>0</v>
          </cell>
          <cell r="AU87">
            <v>0</v>
          </cell>
          <cell r="AV87">
            <v>0</v>
          </cell>
          <cell r="AX87">
            <v>0</v>
          </cell>
          <cell r="AY87">
            <v>0</v>
          </cell>
          <cell r="BA87">
            <v>0</v>
          </cell>
          <cell r="BL87">
            <v>0</v>
          </cell>
          <cell r="BQ87">
            <v>0</v>
          </cell>
        </row>
        <row r="88">
          <cell r="C88">
            <v>9</v>
          </cell>
          <cell r="H88" t="str">
            <v>V-FLAT</v>
          </cell>
          <cell r="M88" t="str">
            <v>FORECAST</v>
          </cell>
          <cell r="AB88">
            <v>3025</v>
          </cell>
          <cell r="AG88">
            <v>12100</v>
          </cell>
          <cell r="AS88">
            <v>0</v>
          </cell>
          <cell r="AU88">
            <v>0</v>
          </cell>
          <cell r="AV88">
            <v>0</v>
          </cell>
          <cell r="AX88">
            <v>0</v>
          </cell>
          <cell r="AY88">
            <v>0</v>
          </cell>
          <cell r="BA88">
            <v>0</v>
          </cell>
          <cell r="BL88">
            <v>5662.8</v>
          </cell>
          <cell r="BQ88">
            <v>0</v>
          </cell>
        </row>
        <row r="89">
          <cell r="C89">
            <v>9</v>
          </cell>
          <cell r="H89" t="str">
            <v>V-FLAT</v>
          </cell>
          <cell r="M89" t="str">
            <v>FORECAST</v>
          </cell>
          <cell r="AB89">
            <v>2087.5</v>
          </cell>
          <cell r="AG89">
            <v>8350</v>
          </cell>
          <cell r="AS89">
            <v>0</v>
          </cell>
          <cell r="AU89">
            <v>0</v>
          </cell>
          <cell r="AV89">
            <v>0</v>
          </cell>
          <cell r="AX89">
            <v>0</v>
          </cell>
          <cell r="AY89">
            <v>0</v>
          </cell>
          <cell r="BA89">
            <v>0</v>
          </cell>
          <cell r="BL89">
            <v>3907.7999999999997</v>
          </cell>
          <cell r="BQ89">
            <v>0</v>
          </cell>
        </row>
        <row r="90">
          <cell r="C90">
            <v>9</v>
          </cell>
          <cell r="H90" t="str">
            <v>BLAUER</v>
          </cell>
          <cell r="M90" t="str">
            <v>FORECAST</v>
          </cell>
          <cell r="AB90">
            <v>0</v>
          </cell>
          <cell r="AG90">
            <v>60000</v>
          </cell>
          <cell r="AS90">
            <v>0</v>
          </cell>
          <cell r="AU90">
            <v>0</v>
          </cell>
          <cell r="AV90">
            <v>0</v>
          </cell>
          <cell r="AX90">
            <v>0</v>
          </cell>
          <cell r="AY90">
            <v>0</v>
          </cell>
          <cell r="BA90">
            <v>0</v>
          </cell>
          <cell r="BL90">
            <v>0</v>
          </cell>
          <cell r="BQ90">
            <v>0</v>
          </cell>
        </row>
        <row r="91">
          <cell r="C91">
            <v>9</v>
          </cell>
          <cell r="H91" t="str">
            <v>MVMT</v>
          </cell>
          <cell r="M91" t="str">
            <v>FORECAST</v>
          </cell>
          <cell r="AB91">
            <v>0</v>
          </cell>
          <cell r="AG91">
            <v>24500</v>
          </cell>
          <cell r="AS91">
            <v>0</v>
          </cell>
          <cell r="AU91">
            <v>0</v>
          </cell>
          <cell r="AV91">
            <v>0</v>
          </cell>
          <cell r="AX91">
            <v>0</v>
          </cell>
          <cell r="AY91">
            <v>0</v>
          </cell>
          <cell r="BA91">
            <v>0</v>
          </cell>
          <cell r="BL91">
            <v>0</v>
          </cell>
          <cell r="BQ91">
            <v>0</v>
          </cell>
        </row>
        <row r="92">
          <cell r="C92">
            <v>9</v>
          </cell>
          <cell r="H92" t="str">
            <v>MVMT</v>
          </cell>
          <cell r="M92" t="str">
            <v>FORECAST</v>
          </cell>
          <cell r="AB92">
            <v>0</v>
          </cell>
          <cell r="AG92">
            <v>24500</v>
          </cell>
          <cell r="AS92">
            <v>0</v>
          </cell>
          <cell r="AU92">
            <v>0</v>
          </cell>
          <cell r="AV92">
            <v>0</v>
          </cell>
          <cell r="AX92">
            <v>0</v>
          </cell>
          <cell r="AY92">
            <v>0</v>
          </cell>
          <cell r="BA92">
            <v>0</v>
          </cell>
          <cell r="BL92">
            <v>0</v>
          </cell>
          <cell r="BQ92">
            <v>0</v>
          </cell>
        </row>
        <row r="93">
          <cell r="C93">
            <v>9</v>
          </cell>
          <cell r="H93" t="str">
            <v>AK</v>
          </cell>
          <cell r="M93" t="str">
            <v>FORECAST</v>
          </cell>
          <cell r="AB93">
            <v>0</v>
          </cell>
          <cell r="AG93">
            <v>30000</v>
          </cell>
          <cell r="AS93">
            <v>0</v>
          </cell>
          <cell r="AU93">
            <v>0</v>
          </cell>
          <cell r="AV93">
            <v>0</v>
          </cell>
          <cell r="AX93">
            <v>0</v>
          </cell>
          <cell r="AY93">
            <v>0</v>
          </cell>
          <cell r="BA93">
            <v>0</v>
          </cell>
          <cell r="BL93">
            <v>0</v>
          </cell>
          <cell r="BQ93">
            <v>0</v>
          </cell>
        </row>
        <row r="94">
          <cell r="C94">
            <v>9</v>
          </cell>
          <cell r="H94" t="str">
            <v>AK</v>
          </cell>
          <cell r="M94" t="str">
            <v>FORECAST</v>
          </cell>
          <cell r="AB94">
            <v>0</v>
          </cell>
          <cell r="AG94">
            <v>30000</v>
          </cell>
          <cell r="AS94">
            <v>0</v>
          </cell>
          <cell r="AU94">
            <v>0</v>
          </cell>
          <cell r="AV94">
            <v>0</v>
          </cell>
          <cell r="AX94">
            <v>0</v>
          </cell>
          <cell r="AY94">
            <v>0</v>
          </cell>
          <cell r="BA94">
            <v>0</v>
          </cell>
          <cell r="BL94">
            <v>0</v>
          </cell>
          <cell r="BQ94">
            <v>0</v>
          </cell>
        </row>
        <row r="95">
          <cell r="C95">
            <v>9</v>
          </cell>
          <cell r="H95" t="str">
            <v>AK</v>
          </cell>
          <cell r="M95" t="str">
            <v>FORECAST</v>
          </cell>
          <cell r="AB95">
            <v>0</v>
          </cell>
          <cell r="AG95">
            <v>30000</v>
          </cell>
          <cell r="AS95">
            <v>0</v>
          </cell>
          <cell r="AU95">
            <v>0</v>
          </cell>
          <cell r="AV95">
            <v>0</v>
          </cell>
          <cell r="AX95">
            <v>0</v>
          </cell>
          <cell r="AY95">
            <v>0</v>
          </cell>
          <cell r="BA95">
            <v>0</v>
          </cell>
          <cell r="BL95">
            <v>0</v>
          </cell>
          <cell r="BQ95">
            <v>0</v>
          </cell>
        </row>
        <row r="96">
          <cell r="C96">
            <v>9</v>
          </cell>
          <cell r="H96" t="str">
            <v>AK</v>
          </cell>
          <cell r="M96" t="str">
            <v>FORECAST</v>
          </cell>
          <cell r="AB96">
            <v>0</v>
          </cell>
          <cell r="AG96">
            <v>30000</v>
          </cell>
          <cell r="AS96">
            <v>0</v>
          </cell>
          <cell r="AU96">
            <v>0</v>
          </cell>
          <cell r="AV96">
            <v>0</v>
          </cell>
          <cell r="AX96">
            <v>0</v>
          </cell>
          <cell r="AY96">
            <v>0</v>
          </cell>
          <cell r="BA96">
            <v>0</v>
          </cell>
          <cell r="BL96">
            <v>0</v>
          </cell>
          <cell r="BQ96">
            <v>0</v>
          </cell>
        </row>
        <row r="97">
          <cell r="C97">
            <v>9</v>
          </cell>
          <cell r="H97" t="str">
            <v>AK</v>
          </cell>
          <cell r="M97" t="str">
            <v>FORECAST</v>
          </cell>
          <cell r="AB97">
            <v>0</v>
          </cell>
          <cell r="AG97">
            <v>30000</v>
          </cell>
          <cell r="AS97">
            <v>0</v>
          </cell>
          <cell r="AU97">
            <v>0</v>
          </cell>
          <cell r="AV97">
            <v>0</v>
          </cell>
          <cell r="AX97">
            <v>0</v>
          </cell>
          <cell r="AY97">
            <v>0</v>
          </cell>
          <cell r="BA97">
            <v>0</v>
          </cell>
          <cell r="BL97">
            <v>0</v>
          </cell>
          <cell r="BQ97">
            <v>0</v>
          </cell>
        </row>
        <row r="98">
          <cell r="C98">
            <v>9</v>
          </cell>
          <cell r="H98" t="str">
            <v>MOMENT</v>
          </cell>
          <cell r="M98" t="str">
            <v>FORECAST</v>
          </cell>
          <cell r="AB98">
            <v>0</v>
          </cell>
          <cell r="AG98">
            <v>146618</v>
          </cell>
          <cell r="AS98">
            <v>0</v>
          </cell>
          <cell r="AU98">
            <v>0</v>
          </cell>
          <cell r="AV98">
            <v>0</v>
          </cell>
          <cell r="AX98">
            <v>0</v>
          </cell>
          <cell r="AY98">
            <v>0</v>
          </cell>
          <cell r="BA98">
            <v>0</v>
          </cell>
          <cell r="BL98">
            <v>0</v>
          </cell>
          <cell r="BQ98">
            <v>0</v>
          </cell>
        </row>
        <row r="99">
          <cell r="C99">
            <v>9</v>
          </cell>
          <cell r="H99" t="str">
            <v>RUFFWEAR</v>
          </cell>
          <cell r="M99" t="str">
            <v>FORECAST</v>
          </cell>
          <cell r="AB99">
            <v>0</v>
          </cell>
          <cell r="AG99">
            <v>150000</v>
          </cell>
          <cell r="AS99">
            <v>0</v>
          </cell>
          <cell r="AU99">
            <v>0</v>
          </cell>
          <cell r="AV99">
            <v>0</v>
          </cell>
          <cell r="AX99">
            <v>0</v>
          </cell>
          <cell r="AY99">
            <v>0</v>
          </cell>
          <cell r="BA99">
            <v>0</v>
          </cell>
          <cell r="BL99">
            <v>0</v>
          </cell>
          <cell r="BQ99">
            <v>0</v>
          </cell>
        </row>
        <row r="100">
          <cell r="C100">
            <v>10</v>
          </cell>
          <cell r="H100" t="str">
            <v>ALPAKA</v>
          </cell>
          <cell r="M100" t="str">
            <v>FORECAST</v>
          </cell>
          <cell r="AB100">
            <v>8365</v>
          </cell>
          <cell r="AG100">
            <v>32956</v>
          </cell>
          <cell r="AS100">
            <v>0</v>
          </cell>
          <cell r="AU100">
            <v>0</v>
          </cell>
          <cell r="AV100">
            <v>0</v>
          </cell>
          <cell r="AX100">
            <v>0</v>
          </cell>
          <cell r="AY100">
            <v>0</v>
          </cell>
          <cell r="BA100">
            <v>0</v>
          </cell>
          <cell r="BL100">
            <v>15608.32</v>
          </cell>
          <cell r="BQ100">
            <v>0</v>
          </cell>
        </row>
        <row r="101">
          <cell r="C101">
            <v>10</v>
          </cell>
          <cell r="H101" t="str">
            <v>ALPAKA</v>
          </cell>
          <cell r="M101" t="str">
            <v>FORECAST</v>
          </cell>
          <cell r="AB101">
            <v>9541</v>
          </cell>
          <cell r="AG101">
            <v>38759</v>
          </cell>
          <cell r="AS101">
            <v>0</v>
          </cell>
          <cell r="AU101">
            <v>0</v>
          </cell>
          <cell r="AV101">
            <v>0</v>
          </cell>
          <cell r="AX101">
            <v>0</v>
          </cell>
          <cell r="AY101">
            <v>0</v>
          </cell>
          <cell r="BA101">
            <v>0</v>
          </cell>
          <cell r="BL101">
            <v>19139.12</v>
          </cell>
          <cell r="BQ101">
            <v>0</v>
          </cell>
        </row>
        <row r="102">
          <cell r="C102">
            <v>10</v>
          </cell>
          <cell r="H102" t="str">
            <v>ALPAKA</v>
          </cell>
          <cell r="M102" t="str">
            <v>FORECAST</v>
          </cell>
          <cell r="AB102">
            <v>6951</v>
          </cell>
          <cell r="AG102">
            <v>29008</v>
          </cell>
          <cell r="AS102">
            <v>0</v>
          </cell>
          <cell r="AU102">
            <v>0</v>
          </cell>
          <cell r="AV102">
            <v>0</v>
          </cell>
          <cell r="AX102">
            <v>0</v>
          </cell>
          <cell r="AY102">
            <v>0</v>
          </cell>
          <cell r="BA102">
            <v>0</v>
          </cell>
          <cell r="BL102">
            <v>13977.6</v>
          </cell>
          <cell r="BQ102">
            <v>0</v>
          </cell>
        </row>
        <row r="103">
          <cell r="C103">
            <v>10</v>
          </cell>
          <cell r="H103" t="str">
            <v>ALPAKA</v>
          </cell>
          <cell r="M103" t="str">
            <v>FORECAST</v>
          </cell>
          <cell r="AB103">
            <v>3444</v>
          </cell>
          <cell r="AG103">
            <v>14770.000000000002</v>
          </cell>
          <cell r="AS103">
            <v>0</v>
          </cell>
          <cell r="AU103">
            <v>0</v>
          </cell>
          <cell r="AV103">
            <v>0</v>
          </cell>
          <cell r="AX103">
            <v>0</v>
          </cell>
          <cell r="AY103">
            <v>0</v>
          </cell>
          <cell r="BA103">
            <v>0</v>
          </cell>
          <cell r="BL103">
            <v>7214.48</v>
          </cell>
          <cell r="BQ103">
            <v>0</v>
          </cell>
        </row>
        <row r="104">
          <cell r="C104">
            <v>10</v>
          </cell>
          <cell r="H104" t="str">
            <v>CARRY CUBO</v>
          </cell>
          <cell r="M104" t="str">
            <v>FORECAST</v>
          </cell>
          <cell r="AB104">
            <v>3305</v>
          </cell>
          <cell r="AG104">
            <v>20585</v>
          </cell>
          <cell r="AS104">
            <v>0</v>
          </cell>
          <cell r="AU104">
            <v>0</v>
          </cell>
          <cell r="AV104">
            <v>0</v>
          </cell>
          <cell r="AX104">
            <v>0</v>
          </cell>
          <cell r="AY104">
            <v>0</v>
          </cell>
          <cell r="BA104">
            <v>0</v>
          </cell>
          <cell r="BL104">
            <v>11715.6</v>
          </cell>
          <cell r="BQ104">
            <v>0</v>
          </cell>
        </row>
        <row r="105">
          <cell r="C105">
            <v>10</v>
          </cell>
          <cell r="H105" t="str">
            <v>CARRY CUBO</v>
          </cell>
          <cell r="M105" t="str">
            <v>FORECAST</v>
          </cell>
          <cell r="AB105">
            <v>400</v>
          </cell>
          <cell r="AG105">
            <v>3320</v>
          </cell>
          <cell r="AS105">
            <v>0</v>
          </cell>
          <cell r="AU105">
            <v>0</v>
          </cell>
          <cell r="AV105">
            <v>0</v>
          </cell>
          <cell r="AX105">
            <v>0</v>
          </cell>
          <cell r="AY105">
            <v>0</v>
          </cell>
          <cell r="BA105">
            <v>0</v>
          </cell>
          <cell r="BL105">
            <v>1315.6000000000001</v>
          </cell>
          <cell r="BQ105">
            <v>0</v>
          </cell>
        </row>
        <row r="106">
          <cell r="C106">
            <v>10</v>
          </cell>
          <cell r="H106" t="str">
            <v>CARRY CUBO</v>
          </cell>
          <cell r="M106" t="str">
            <v>FORECAST</v>
          </cell>
          <cell r="AB106">
            <v>280</v>
          </cell>
          <cell r="AG106">
            <v>1370</v>
          </cell>
          <cell r="AS106">
            <v>0</v>
          </cell>
          <cell r="AU106">
            <v>0</v>
          </cell>
          <cell r="AV106">
            <v>0</v>
          </cell>
          <cell r="AX106">
            <v>0</v>
          </cell>
          <cell r="AY106">
            <v>0</v>
          </cell>
          <cell r="BA106">
            <v>0</v>
          </cell>
          <cell r="BL106">
            <v>759.19999999999993</v>
          </cell>
          <cell r="BQ106">
            <v>0</v>
          </cell>
        </row>
        <row r="107">
          <cell r="C107">
            <v>10</v>
          </cell>
          <cell r="H107" t="str">
            <v>CARRY CUBO</v>
          </cell>
          <cell r="M107" t="str">
            <v>FORECAST</v>
          </cell>
          <cell r="AB107">
            <v>400</v>
          </cell>
          <cell r="AG107">
            <v>1830</v>
          </cell>
          <cell r="AS107">
            <v>0</v>
          </cell>
          <cell r="AU107">
            <v>0</v>
          </cell>
          <cell r="AV107">
            <v>0</v>
          </cell>
          <cell r="AX107">
            <v>0</v>
          </cell>
          <cell r="AY107">
            <v>0</v>
          </cell>
          <cell r="BA107">
            <v>0</v>
          </cell>
          <cell r="BL107">
            <v>1024.4000000000001</v>
          </cell>
          <cell r="BQ107">
            <v>0</v>
          </cell>
        </row>
        <row r="108">
          <cell r="C108">
            <v>10</v>
          </cell>
          <cell r="H108" t="str">
            <v>CARRY CUBO</v>
          </cell>
          <cell r="M108" t="str">
            <v>FORECAST</v>
          </cell>
          <cell r="AB108">
            <v>400</v>
          </cell>
          <cell r="AG108">
            <v>3320</v>
          </cell>
          <cell r="AS108">
            <v>0</v>
          </cell>
          <cell r="AU108">
            <v>0</v>
          </cell>
          <cell r="AV108">
            <v>0</v>
          </cell>
          <cell r="AX108">
            <v>0</v>
          </cell>
          <cell r="AY108">
            <v>0</v>
          </cell>
          <cell r="BA108">
            <v>0</v>
          </cell>
          <cell r="BL108">
            <v>1315.6000000000001</v>
          </cell>
          <cell r="BQ108">
            <v>0</v>
          </cell>
        </row>
        <row r="109">
          <cell r="C109">
            <v>10</v>
          </cell>
          <cell r="H109" t="str">
            <v>MOMENT</v>
          </cell>
          <cell r="M109" t="str">
            <v>FORECAST</v>
          </cell>
          <cell r="AB109">
            <v>0</v>
          </cell>
          <cell r="AG109">
            <v>200000</v>
          </cell>
          <cell r="AS109">
            <v>0</v>
          </cell>
          <cell r="AU109">
            <v>0</v>
          </cell>
          <cell r="AV109">
            <v>0</v>
          </cell>
          <cell r="AX109">
            <v>0</v>
          </cell>
          <cell r="AY109">
            <v>0</v>
          </cell>
          <cell r="BA109">
            <v>0</v>
          </cell>
          <cell r="BL109">
            <v>0</v>
          </cell>
          <cell r="BQ109">
            <v>0</v>
          </cell>
        </row>
        <row r="110">
          <cell r="C110">
            <v>10</v>
          </cell>
          <cell r="H110" t="str">
            <v>RUFFWEAR</v>
          </cell>
          <cell r="M110" t="str">
            <v>FORECAST</v>
          </cell>
          <cell r="AB110">
            <v>0</v>
          </cell>
          <cell r="AG110">
            <v>200000</v>
          </cell>
          <cell r="AS110">
            <v>0</v>
          </cell>
          <cell r="AU110">
            <v>0</v>
          </cell>
          <cell r="AV110">
            <v>0</v>
          </cell>
          <cell r="AX110">
            <v>0</v>
          </cell>
          <cell r="AY110">
            <v>0</v>
          </cell>
          <cell r="BA110">
            <v>0</v>
          </cell>
          <cell r="BL110">
            <v>0</v>
          </cell>
          <cell r="BQ110">
            <v>0</v>
          </cell>
        </row>
        <row r="111">
          <cell r="C111">
            <v>10</v>
          </cell>
          <cell r="H111" t="str">
            <v>ALPKIT</v>
          </cell>
          <cell r="M111" t="str">
            <v>FORECAST</v>
          </cell>
          <cell r="AB111">
            <v>0</v>
          </cell>
          <cell r="AG111">
            <v>45000</v>
          </cell>
          <cell r="AS111">
            <v>0</v>
          </cell>
          <cell r="AU111">
            <v>0</v>
          </cell>
          <cell r="AV111">
            <v>0</v>
          </cell>
          <cell r="AX111">
            <v>0</v>
          </cell>
          <cell r="AY111">
            <v>0</v>
          </cell>
          <cell r="BA111">
            <v>0</v>
          </cell>
          <cell r="BL111">
            <v>0</v>
          </cell>
          <cell r="BQ111">
            <v>0</v>
          </cell>
        </row>
        <row r="112">
          <cell r="C112">
            <v>10</v>
          </cell>
          <cell r="H112" t="str">
            <v>PNW</v>
          </cell>
          <cell r="M112" t="str">
            <v>FORECAST</v>
          </cell>
          <cell r="AB112">
            <v>0</v>
          </cell>
          <cell r="AG112">
            <v>15000</v>
          </cell>
          <cell r="AS112">
            <v>0</v>
          </cell>
          <cell r="AU112">
            <v>0</v>
          </cell>
          <cell r="AV112">
            <v>0</v>
          </cell>
          <cell r="AX112">
            <v>0</v>
          </cell>
          <cell r="AY112">
            <v>0</v>
          </cell>
          <cell r="BA112">
            <v>0</v>
          </cell>
          <cell r="BL112">
            <v>0</v>
          </cell>
          <cell r="BQ112">
            <v>0</v>
          </cell>
        </row>
        <row r="113">
          <cell r="C113">
            <v>10</v>
          </cell>
          <cell r="H113" t="str">
            <v>PNW</v>
          </cell>
          <cell r="M113" t="str">
            <v>FORECAST</v>
          </cell>
          <cell r="AB113">
            <v>0</v>
          </cell>
          <cell r="AG113">
            <v>35925</v>
          </cell>
          <cell r="AS113">
            <v>0</v>
          </cell>
          <cell r="AU113">
            <v>0</v>
          </cell>
          <cell r="AV113">
            <v>0</v>
          </cell>
          <cell r="AX113">
            <v>0</v>
          </cell>
          <cell r="AY113">
            <v>0</v>
          </cell>
          <cell r="BA113">
            <v>0</v>
          </cell>
          <cell r="BL113">
            <v>0</v>
          </cell>
          <cell r="BQ113">
            <v>0</v>
          </cell>
        </row>
        <row r="114">
          <cell r="C114">
            <v>10</v>
          </cell>
          <cell r="H114" t="str">
            <v>WANDE</v>
          </cell>
          <cell r="M114" t="str">
            <v>FORECAST</v>
          </cell>
          <cell r="AB114">
            <v>0</v>
          </cell>
          <cell r="AG114">
            <v>45000</v>
          </cell>
          <cell r="AS114">
            <v>0</v>
          </cell>
          <cell r="AU114">
            <v>0</v>
          </cell>
          <cell r="AV114">
            <v>0</v>
          </cell>
          <cell r="AX114">
            <v>0</v>
          </cell>
          <cell r="AY114">
            <v>0</v>
          </cell>
          <cell r="BA114">
            <v>0</v>
          </cell>
          <cell r="BL114">
            <v>0</v>
          </cell>
          <cell r="BQ114">
            <v>0</v>
          </cell>
        </row>
        <row r="115">
          <cell r="C115">
            <v>10</v>
          </cell>
          <cell r="H115" t="str">
            <v>PUFFIN COOLER</v>
          </cell>
          <cell r="M115" t="str">
            <v>FORECAST</v>
          </cell>
          <cell r="AB115">
            <v>0</v>
          </cell>
          <cell r="AG115">
            <v>60000</v>
          </cell>
          <cell r="AS115">
            <v>0</v>
          </cell>
          <cell r="AU115">
            <v>0</v>
          </cell>
          <cell r="AV115">
            <v>0</v>
          </cell>
          <cell r="AX115">
            <v>0</v>
          </cell>
          <cell r="AY115">
            <v>0</v>
          </cell>
          <cell r="BA115">
            <v>0</v>
          </cell>
          <cell r="BL115">
            <v>0</v>
          </cell>
          <cell r="BQ115">
            <v>0</v>
          </cell>
        </row>
        <row r="116">
          <cell r="C116">
            <v>11</v>
          </cell>
          <cell r="H116" t="str">
            <v>GECKO</v>
          </cell>
          <cell r="M116" t="str">
            <v>FORECAST</v>
          </cell>
          <cell r="AB116">
            <v>0</v>
          </cell>
          <cell r="AG116">
            <v>80000</v>
          </cell>
          <cell r="AS116">
            <v>0</v>
          </cell>
          <cell r="AU116">
            <v>0</v>
          </cell>
          <cell r="AV116">
            <v>0</v>
          </cell>
          <cell r="AX116">
            <v>0</v>
          </cell>
          <cell r="AY116">
            <v>0</v>
          </cell>
          <cell r="BA116">
            <v>0</v>
          </cell>
          <cell r="BL116">
            <v>0</v>
          </cell>
          <cell r="BQ116">
            <v>0</v>
          </cell>
        </row>
        <row r="117">
          <cell r="C117">
            <v>11</v>
          </cell>
          <cell r="H117" t="str">
            <v>ALWAYS UP</v>
          </cell>
          <cell r="M117" t="str">
            <v>FORECAST</v>
          </cell>
          <cell r="AB117">
            <v>11000</v>
          </cell>
          <cell r="AG117">
            <v>48200</v>
          </cell>
          <cell r="AS117">
            <v>0</v>
          </cell>
          <cell r="AU117">
            <v>0</v>
          </cell>
          <cell r="AV117">
            <v>0</v>
          </cell>
          <cell r="AX117">
            <v>0</v>
          </cell>
          <cell r="AY117">
            <v>0</v>
          </cell>
          <cell r="BA117">
            <v>0</v>
          </cell>
          <cell r="BL117">
            <v>21902.399999999998</v>
          </cell>
          <cell r="BQ117">
            <v>0</v>
          </cell>
        </row>
        <row r="118">
          <cell r="C118">
            <v>11</v>
          </cell>
          <cell r="H118" t="str">
            <v>MOMENT</v>
          </cell>
          <cell r="M118" t="str">
            <v>FORECAST</v>
          </cell>
          <cell r="AB118">
            <v>0</v>
          </cell>
          <cell r="AG118">
            <v>300000</v>
          </cell>
          <cell r="AS118">
            <v>0</v>
          </cell>
          <cell r="AU118">
            <v>0</v>
          </cell>
          <cell r="AV118">
            <v>0</v>
          </cell>
          <cell r="AX118">
            <v>0</v>
          </cell>
          <cell r="AY118">
            <v>0</v>
          </cell>
          <cell r="BA118">
            <v>0</v>
          </cell>
          <cell r="BL118">
            <v>0</v>
          </cell>
          <cell r="BQ118">
            <v>0</v>
          </cell>
        </row>
        <row r="119">
          <cell r="C119">
            <v>11</v>
          </cell>
          <cell r="H119" t="str">
            <v>RUFFWEAR</v>
          </cell>
          <cell r="M119" t="str">
            <v>FORECAST</v>
          </cell>
          <cell r="AB119">
            <v>0</v>
          </cell>
          <cell r="AG119">
            <v>300000</v>
          </cell>
          <cell r="AS119">
            <v>0</v>
          </cell>
          <cell r="AU119">
            <v>0</v>
          </cell>
          <cell r="AV119">
            <v>0</v>
          </cell>
          <cell r="AX119">
            <v>0</v>
          </cell>
          <cell r="AY119">
            <v>0</v>
          </cell>
          <cell r="BA119">
            <v>0</v>
          </cell>
          <cell r="BL119">
            <v>0</v>
          </cell>
          <cell r="BQ119">
            <v>0</v>
          </cell>
        </row>
        <row r="120">
          <cell r="C120">
            <v>11</v>
          </cell>
          <cell r="H120" t="str">
            <v>NEW</v>
          </cell>
          <cell r="M120" t="str">
            <v>FORECAST</v>
          </cell>
          <cell r="AB120">
            <v>0</v>
          </cell>
          <cell r="AG120">
            <v>310000</v>
          </cell>
          <cell r="AS120">
            <v>0</v>
          </cell>
          <cell r="AU120">
            <v>0</v>
          </cell>
          <cell r="AV120">
            <v>0</v>
          </cell>
          <cell r="AX120">
            <v>0</v>
          </cell>
          <cell r="AY120">
            <v>0</v>
          </cell>
          <cell r="BA120">
            <v>0</v>
          </cell>
          <cell r="BL120">
            <v>0</v>
          </cell>
          <cell r="BQ120">
            <v>0</v>
          </cell>
        </row>
        <row r="121">
          <cell r="C121">
            <v>12</v>
          </cell>
          <cell r="H121" t="str">
            <v>WANDE</v>
          </cell>
          <cell r="M121" t="str">
            <v>FORECAST</v>
          </cell>
          <cell r="AB121">
            <v>0</v>
          </cell>
          <cell r="AG121">
            <v>30000</v>
          </cell>
          <cell r="AS121">
            <v>0</v>
          </cell>
          <cell r="AU121">
            <v>0</v>
          </cell>
          <cell r="AV121">
            <v>0</v>
          </cell>
          <cell r="AX121">
            <v>0</v>
          </cell>
          <cell r="AY121">
            <v>0</v>
          </cell>
          <cell r="BA121">
            <v>0</v>
          </cell>
          <cell r="BL121">
            <v>0</v>
          </cell>
          <cell r="BQ121">
            <v>0</v>
          </cell>
        </row>
        <row r="122">
          <cell r="C122">
            <v>12</v>
          </cell>
          <cell r="H122" t="str">
            <v>RUFFWEAR</v>
          </cell>
          <cell r="M122" t="str">
            <v>FORECAST</v>
          </cell>
          <cell r="AB122">
            <v>0</v>
          </cell>
          <cell r="AG122">
            <v>400000</v>
          </cell>
          <cell r="AS122">
            <v>0</v>
          </cell>
          <cell r="AU122">
            <v>0</v>
          </cell>
          <cell r="AV122">
            <v>0</v>
          </cell>
          <cell r="AX122">
            <v>0</v>
          </cell>
          <cell r="AY122">
            <v>0</v>
          </cell>
          <cell r="BA122">
            <v>0</v>
          </cell>
          <cell r="BL122">
            <v>0</v>
          </cell>
          <cell r="BQ122">
            <v>0</v>
          </cell>
        </row>
        <row r="123">
          <cell r="C123">
            <v>12</v>
          </cell>
          <cell r="H123" t="str">
            <v>MOMENT</v>
          </cell>
          <cell r="M123" t="str">
            <v>FORECAST</v>
          </cell>
          <cell r="AB123">
            <v>0</v>
          </cell>
          <cell r="AG123">
            <v>200000</v>
          </cell>
          <cell r="AS123">
            <v>0</v>
          </cell>
          <cell r="AU123">
            <v>0</v>
          </cell>
          <cell r="AV123">
            <v>0</v>
          </cell>
          <cell r="AX123">
            <v>0</v>
          </cell>
          <cell r="AY123">
            <v>0</v>
          </cell>
          <cell r="BA123">
            <v>0</v>
          </cell>
          <cell r="BL123">
            <v>0</v>
          </cell>
          <cell r="BQ123">
            <v>0</v>
          </cell>
        </row>
        <row r="124">
          <cell r="C124">
            <v>12</v>
          </cell>
          <cell r="H124" t="str">
            <v>PNW</v>
          </cell>
          <cell r="M124" t="str">
            <v>FORECAST</v>
          </cell>
          <cell r="AB124">
            <v>0</v>
          </cell>
          <cell r="AG124">
            <v>47900</v>
          </cell>
          <cell r="AS124">
            <v>0</v>
          </cell>
          <cell r="AU124">
            <v>0</v>
          </cell>
          <cell r="AV124">
            <v>0</v>
          </cell>
          <cell r="AX124">
            <v>0</v>
          </cell>
          <cell r="AY124">
            <v>0</v>
          </cell>
          <cell r="BA124">
            <v>0</v>
          </cell>
          <cell r="BL124">
            <v>0</v>
          </cell>
          <cell r="BQ124">
            <v>0</v>
          </cell>
        </row>
        <row r="125">
          <cell r="C125">
            <v>12</v>
          </cell>
          <cell r="H125" t="str">
            <v>AK</v>
          </cell>
          <cell r="M125" t="str">
            <v>FORECAST</v>
          </cell>
          <cell r="AB125">
            <v>0</v>
          </cell>
          <cell r="AG125">
            <v>50000</v>
          </cell>
          <cell r="AS125">
            <v>0</v>
          </cell>
          <cell r="AU125">
            <v>0</v>
          </cell>
          <cell r="AV125">
            <v>0</v>
          </cell>
          <cell r="AX125">
            <v>0</v>
          </cell>
          <cell r="AY125">
            <v>0</v>
          </cell>
          <cell r="BA125">
            <v>0</v>
          </cell>
          <cell r="BL125">
            <v>0</v>
          </cell>
          <cell r="BQ125">
            <v>0</v>
          </cell>
        </row>
        <row r="126">
          <cell r="C126">
            <v>12</v>
          </cell>
          <cell r="H126" t="str">
            <v>AK</v>
          </cell>
          <cell r="M126" t="str">
            <v>FORECAST</v>
          </cell>
          <cell r="AB126">
            <v>0</v>
          </cell>
          <cell r="AG126">
            <v>50000</v>
          </cell>
          <cell r="AS126">
            <v>0</v>
          </cell>
          <cell r="AU126">
            <v>0</v>
          </cell>
          <cell r="AV126">
            <v>0</v>
          </cell>
          <cell r="AX126">
            <v>0</v>
          </cell>
          <cell r="AY126">
            <v>0</v>
          </cell>
          <cell r="BA126">
            <v>0</v>
          </cell>
          <cell r="BL126">
            <v>0</v>
          </cell>
          <cell r="BQ126">
            <v>0</v>
          </cell>
        </row>
        <row r="127">
          <cell r="C127">
            <v>12</v>
          </cell>
          <cell r="H127" t="str">
            <v>AK</v>
          </cell>
          <cell r="M127" t="str">
            <v>FORECAST</v>
          </cell>
          <cell r="AB127">
            <v>0</v>
          </cell>
          <cell r="AG127">
            <v>50000</v>
          </cell>
          <cell r="AS127">
            <v>0</v>
          </cell>
          <cell r="AU127">
            <v>0</v>
          </cell>
          <cell r="AV127">
            <v>0</v>
          </cell>
          <cell r="AX127">
            <v>0</v>
          </cell>
          <cell r="AY127">
            <v>0</v>
          </cell>
          <cell r="BA127">
            <v>0</v>
          </cell>
          <cell r="BL127">
            <v>0</v>
          </cell>
          <cell r="BQ127">
            <v>0</v>
          </cell>
        </row>
        <row r="128">
          <cell r="C128">
            <v>12</v>
          </cell>
          <cell r="H128" t="str">
            <v>AK</v>
          </cell>
          <cell r="M128" t="str">
            <v>FORECAST</v>
          </cell>
          <cell r="AB128">
            <v>0</v>
          </cell>
          <cell r="AG128">
            <v>50000</v>
          </cell>
          <cell r="AS128">
            <v>0</v>
          </cell>
          <cell r="AU128">
            <v>0</v>
          </cell>
          <cell r="AV128">
            <v>0</v>
          </cell>
          <cell r="AX128">
            <v>0</v>
          </cell>
          <cell r="AY128">
            <v>0</v>
          </cell>
          <cell r="BA128">
            <v>0</v>
          </cell>
          <cell r="BL128">
            <v>0</v>
          </cell>
          <cell r="BQ128">
            <v>0</v>
          </cell>
        </row>
        <row r="129">
          <cell r="C129">
            <v>12</v>
          </cell>
          <cell r="H129" t="str">
            <v>AK</v>
          </cell>
          <cell r="M129" t="str">
            <v>FORECAST</v>
          </cell>
          <cell r="AB129">
            <v>0</v>
          </cell>
          <cell r="AG129">
            <v>50000</v>
          </cell>
          <cell r="AS129">
            <v>0</v>
          </cell>
          <cell r="AU129">
            <v>0</v>
          </cell>
          <cell r="AV129">
            <v>0</v>
          </cell>
          <cell r="AX129">
            <v>0</v>
          </cell>
          <cell r="AY129">
            <v>0</v>
          </cell>
          <cell r="BA129">
            <v>0</v>
          </cell>
          <cell r="BL129">
            <v>0</v>
          </cell>
          <cell r="BQ129">
            <v>0</v>
          </cell>
        </row>
        <row r="130">
          <cell r="C130">
            <v>12</v>
          </cell>
          <cell r="H130" t="str">
            <v>PUFFIN COOLER</v>
          </cell>
          <cell r="M130" t="str">
            <v>FORECAST</v>
          </cell>
          <cell r="AB130">
            <v>0</v>
          </cell>
          <cell r="AG130">
            <v>150000</v>
          </cell>
          <cell r="AS130">
            <v>0</v>
          </cell>
          <cell r="AU130">
            <v>0</v>
          </cell>
          <cell r="AV130">
            <v>0</v>
          </cell>
          <cell r="AX130">
            <v>0</v>
          </cell>
          <cell r="AY130">
            <v>0</v>
          </cell>
          <cell r="BA130">
            <v>0</v>
          </cell>
          <cell r="BL130">
            <v>0</v>
          </cell>
          <cell r="BQ130">
            <v>0</v>
          </cell>
        </row>
        <row r="131">
          <cell r="C131">
            <v>12</v>
          </cell>
          <cell r="H131" t="str">
            <v>NEW</v>
          </cell>
          <cell r="M131" t="str">
            <v>FORECAST</v>
          </cell>
          <cell r="AB131">
            <v>0</v>
          </cell>
          <cell r="AG131">
            <v>400000</v>
          </cell>
          <cell r="AS131">
            <v>0</v>
          </cell>
          <cell r="AU131">
            <v>0</v>
          </cell>
          <cell r="AV131">
            <v>0</v>
          </cell>
          <cell r="AX131">
            <v>0</v>
          </cell>
          <cell r="AY131">
            <v>0</v>
          </cell>
          <cell r="BA131">
            <v>0</v>
          </cell>
          <cell r="BL131">
            <v>0</v>
          </cell>
          <cell r="BQ131">
            <v>0</v>
          </cell>
        </row>
        <row r="132">
          <cell r="C132">
            <v>12</v>
          </cell>
          <cell r="H132" t="str">
            <v>V-FLAT</v>
          </cell>
          <cell r="M132" t="str">
            <v>FORECAST</v>
          </cell>
          <cell r="AB132">
            <v>0</v>
          </cell>
          <cell r="AG132">
            <v>60000</v>
          </cell>
          <cell r="AS132">
            <v>0</v>
          </cell>
          <cell r="AU132">
            <v>0</v>
          </cell>
          <cell r="AV132">
            <v>0</v>
          </cell>
          <cell r="AX132">
            <v>0</v>
          </cell>
          <cell r="AY132">
            <v>0</v>
          </cell>
          <cell r="BA132">
            <v>0</v>
          </cell>
          <cell r="BL132">
            <v>0</v>
          </cell>
          <cell r="BQ132">
            <v>0</v>
          </cell>
        </row>
        <row r="133">
          <cell r="C133">
            <v>12</v>
          </cell>
          <cell r="H133" t="str">
            <v>V-FLAT</v>
          </cell>
          <cell r="M133" t="str">
            <v>FORECAST</v>
          </cell>
          <cell r="AB133">
            <v>0</v>
          </cell>
          <cell r="AG133">
            <v>45000</v>
          </cell>
          <cell r="AS133">
            <v>0</v>
          </cell>
          <cell r="AU133">
            <v>0</v>
          </cell>
          <cell r="AV133">
            <v>0</v>
          </cell>
          <cell r="AX133">
            <v>0</v>
          </cell>
          <cell r="AY133">
            <v>0</v>
          </cell>
          <cell r="BA133">
            <v>0</v>
          </cell>
          <cell r="BL133">
            <v>0</v>
          </cell>
          <cell r="BQ133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Clients"/>
      <sheetName val="USA T"/>
      <sheetName val="CANADA T"/>
      <sheetName val="UK T"/>
      <sheetName val="Australia T"/>
      <sheetName val="China T"/>
      <sheetName val="Hong kong T"/>
      <sheetName val="Israel T"/>
      <sheetName val="Japan T"/>
      <sheetName val="J Xebio T"/>
      <sheetName val="Korea T"/>
      <sheetName val="New Zeland T"/>
      <sheetName val="Norway T"/>
      <sheetName val="Taiwan T"/>
      <sheetName val="New T"/>
      <sheetName val="New1 T"/>
      <sheetName val="New2 T"/>
      <sheetName val="New3 T"/>
      <sheetName val="France"/>
      <sheetName val="Germany"/>
      <sheetName val="Netherland"/>
      <sheetName val="Switzerland"/>
      <sheetName val="Croazia"/>
      <sheetName val="Cyprus"/>
      <sheetName val="Greece"/>
      <sheetName val="Hungary"/>
      <sheetName val="Denmark"/>
      <sheetName val="Rep. Czeck"/>
      <sheetName val="Poland"/>
      <sheetName val="Slavenjia"/>
      <sheetName val="Spagna"/>
      <sheetName val="Russia"/>
      <sheetName val="Sweden"/>
      <sheetName val="Finland"/>
      <sheetName val="Italy"/>
      <sheetName val="New"/>
      <sheetName val="New1"/>
      <sheetName val="New2"/>
      <sheetName val="New3"/>
      <sheetName val="New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tabSelected="1" zoomScaleNormal="100" workbookViewId="0">
      <selection activeCell="C28" sqref="C28"/>
    </sheetView>
  </sheetViews>
  <sheetFormatPr baseColWidth="8" defaultRowHeight="10.15"/>
  <cols>
    <col width="8.6640625" customWidth="1" style="24" min="1" max="1"/>
    <col width="37.58203125" customWidth="1" style="24" min="2" max="2"/>
    <col width="35.6640625" customWidth="1" style="65" min="3" max="3"/>
    <col width="24.6640625" customWidth="1" style="24" min="4" max="4"/>
    <col width="17.83203125" customWidth="1" style="24" min="5" max="5"/>
    <col width="8.6640625" customWidth="1" style="24" min="6" max="6"/>
    <col width="8.75" customWidth="1" style="23" min="7" max="7"/>
    <col width="8.6640625" customWidth="1" style="23" min="8" max="11"/>
    <col width="8.6640625" customWidth="1" style="24" min="12" max="16384"/>
  </cols>
  <sheetData>
    <row r="1">
      <c r="A1" s="24" t="inlineStr">
        <is>
          <t>TP-QF-60(TG)GL-29052026</t>
        </is>
      </c>
    </row>
    <row r="2" ht="42" customHeight="1">
      <c r="A2" s="66" t="inlineStr">
        <is>
          <t>GHI CHU / NOTE: O do = BAT BUOC (MUST) | Xanh la = KHONG bat buoc (OPTIONAL) | Xanh duong = TU DONG TINH (AUTO-CALC). Chi can dien ma EAN/Item code (cot C) - SKU (cot B) co the de trong. Cot I (Carton qty) da co san cong thuc =K-J+1, chi can dien J (Carton No tu) va K (Carton No den).</t>
        </is>
      </c>
      <c r="B2" s="67" t="n"/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  <c r="M2" s="67" t="n"/>
      <c r="N2" s="67" t="n"/>
      <c r="O2" s="67" t="n"/>
      <c r="P2" s="67" t="n"/>
    </row>
    <row r="3">
      <c r="A3" s="68" t="inlineStr">
        <is>
          <t>(13) Layer</t>
        </is>
      </c>
      <c r="B3" s="69" t="n"/>
      <c r="C3" s="70" t="inlineStr">
        <is>
          <t>(14) Item code</t>
        </is>
      </c>
      <c r="D3" s="71" t="inlineStr">
        <is>
          <t>(15) Description of GOODS</t>
        </is>
      </c>
      <c r="E3" s="72" t="n"/>
      <c r="F3" s="46" t="inlineStr">
        <is>
          <t>(16) Weight of 1 item</t>
        </is>
      </c>
      <c r="G3" s="73" t="inlineStr">
        <is>
          <t xml:space="preserve">Outer Carton </t>
        </is>
      </c>
      <c r="H3" s="74" t="n"/>
      <c r="I3" s="74" t="n"/>
      <c r="J3" s="74" t="n"/>
      <c r="K3" s="74" t="n"/>
      <c r="L3" s="75" t="n"/>
      <c r="M3" s="76" t="inlineStr">
        <is>
          <t xml:space="preserve">Weight in kg </t>
        </is>
      </c>
      <c r="N3" s="77" t="n"/>
      <c r="O3" s="48" t="inlineStr">
        <is>
          <t>(23) CBM</t>
        </is>
      </c>
      <c r="P3" s="48" t="inlineStr">
        <is>
          <t>Carton ID</t>
        </is>
      </c>
    </row>
    <row r="4" ht="40.5" customHeight="1">
      <c r="A4" s="78" t="inlineStr">
        <is>
          <t>Quantity/ Layer (pcs)</t>
        </is>
      </c>
      <c r="B4" s="79" t="inlineStr">
        <is>
          <t>Layer
quantity</t>
        </is>
      </c>
      <c r="C4" s="80" t="n"/>
      <c r="D4" s="81" t="n"/>
      <c r="E4" s="82" t="n"/>
      <c r="F4" s="83" t="n"/>
      <c r="G4" s="84" t="inlineStr">
        <is>
          <t>(17) Total 
Quantity (pcs)</t>
        </is>
      </c>
      <c r="H4" s="85" t="inlineStr">
        <is>
          <t>(18) Quantity/ box (pcs)</t>
        </is>
      </c>
      <c r="I4" s="86" t="inlineStr">
        <is>
          <t>(19) Carton quantity</t>
        </is>
      </c>
      <c r="J4" s="85" t="inlineStr">
        <is>
          <t>Carton No
(from…to…)</t>
        </is>
      </c>
      <c r="K4" s="87" t="n"/>
      <c r="L4" s="88" t="inlineStr">
        <is>
          <t>MIX? (optional)</t>
        </is>
      </c>
      <c r="M4" s="17" t="inlineStr">
        <is>
          <t>(21) NT . WT</t>
        </is>
      </c>
      <c r="N4" s="17" t="inlineStr">
        <is>
          <t>(22) GT . WT</t>
        </is>
      </c>
      <c r="O4" s="83" t="n"/>
      <c r="P4" s="83" t="n"/>
    </row>
    <row r="5" ht="11.65" customHeight="1">
      <c r="B5" s="31" t="inlineStr">
        <is>
          <t>TP-WBA-HMB-BLK-34</t>
        </is>
      </c>
      <c r="C5" s="34" t="inlineStr">
        <is>
          <t>4894961083006</t>
        </is>
      </c>
      <c r="D5" s="25" t="n"/>
      <c r="G5" s="35" t="n">
        <v>220</v>
      </c>
      <c r="H5" s="36" t="n">
        <v>10</v>
      </c>
      <c r="I5" s="33">
        <f>(K5-J5)+1</f>
        <v/>
      </c>
      <c r="J5" s="37" t="n">
        <v>1</v>
      </c>
      <c r="K5" s="37" t="n">
        <v>22</v>
      </c>
      <c r="L5" s="89" t="n"/>
      <c r="N5" s="26" t="n"/>
      <c r="P5" s="28" t="n"/>
    </row>
    <row r="6" ht="11.65" customHeight="1">
      <c r="B6" s="31" t="inlineStr">
        <is>
          <t>TP-WBA-HMB-SPR-34</t>
        </is>
      </c>
      <c r="C6" s="34" t="inlineStr">
        <is>
          <t>4894961083013</t>
        </is>
      </c>
      <c r="D6" s="25" t="n"/>
      <c r="G6" s="35" t="n">
        <v>280</v>
      </c>
      <c r="H6" s="36" t="n">
        <v>10</v>
      </c>
      <c r="I6" s="33">
        <f>(K6-J6)+1</f>
        <v/>
      </c>
      <c r="J6" s="37" t="n">
        <v>23</v>
      </c>
      <c r="K6" s="37" t="n">
        <v>50</v>
      </c>
    </row>
    <row r="7" ht="11.65" customHeight="1">
      <c r="B7" s="31" t="inlineStr">
        <is>
          <t>TP-WBA-RB2-IGN-38</t>
        </is>
      </c>
      <c r="C7" s="34" t="inlineStr">
        <is>
          <t>4894961082221</t>
        </is>
      </c>
      <c r="D7" s="25" t="n"/>
      <c r="G7" s="35" t="n">
        <v>350</v>
      </c>
      <c r="H7" s="36" t="n">
        <v>50</v>
      </c>
      <c r="I7" s="33">
        <f>(K7-J7)+1</f>
        <v/>
      </c>
      <c r="J7" s="37" t="n">
        <v>51</v>
      </c>
      <c r="K7" s="37" t="n">
        <v>57</v>
      </c>
    </row>
    <row r="8" ht="11.65" customHeight="1">
      <c r="B8" s="31" t="inlineStr">
        <is>
          <t>TP-WBA-RB2-IGN-38</t>
        </is>
      </c>
      <c r="C8" s="34" t="inlineStr">
        <is>
          <t>4894961082221</t>
        </is>
      </c>
      <c r="D8" s="25" t="n"/>
      <c r="G8" s="35" t="n">
        <v>35</v>
      </c>
      <c r="H8" s="36" t="n">
        <v>35</v>
      </c>
      <c r="I8" s="33">
        <f>(K8-J8)+1</f>
        <v/>
      </c>
      <c r="J8" s="37" t="n">
        <v>58</v>
      </c>
      <c r="K8" s="37" t="n">
        <v>58</v>
      </c>
    </row>
    <row r="9" ht="11.65" customHeight="1">
      <c r="B9" s="31" t="inlineStr">
        <is>
          <t>TP-WBA-RBO-BLK-34</t>
        </is>
      </c>
      <c r="C9" s="34" t="inlineStr">
        <is>
          <t>4894961074516</t>
        </is>
      </c>
      <c r="D9" s="25" t="n"/>
      <c r="G9" s="35" t="n">
        <v>575</v>
      </c>
      <c r="H9" s="36" t="n">
        <v>25</v>
      </c>
      <c r="I9" s="33">
        <f>(K9-J9)+1</f>
        <v/>
      </c>
      <c r="J9" s="37" t="n">
        <v>59</v>
      </c>
      <c r="K9" s="37" t="n">
        <v>81</v>
      </c>
    </row>
    <row r="10" ht="11.65" customHeight="1">
      <c r="B10" s="31" t="inlineStr">
        <is>
          <t>TP-WST-BWS-SON-55</t>
        </is>
      </c>
      <c r="C10" s="34" t="inlineStr">
        <is>
          <t>4894961084362</t>
        </is>
      </c>
      <c r="D10" s="25" t="n"/>
      <c r="G10" s="35" t="n">
        <v>100</v>
      </c>
      <c r="H10" s="36" t="n">
        <v>100</v>
      </c>
      <c r="I10" s="33">
        <f>(K10-J10)+1</f>
        <v/>
      </c>
      <c r="J10" s="37" t="n">
        <v>82</v>
      </c>
      <c r="K10" s="37" t="n">
        <v>82</v>
      </c>
    </row>
    <row r="11" ht="11.65" customHeight="1">
      <c r="B11" s="31" t="inlineStr">
        <is>
          <t>TP-WST-BWS-SON-55-BOX</t>
        </is>
      </c>
      <c r="C11" s="34" t="inlineStr">
        <is>
          <t>4894961081583</t>
        </is>
      </c>
      <c r="D11" s="25" t="n"/>
      <c r="G11" s="35" t="n">
        <v>200</v>
      </c>
      <c r="H11" s="36" t="n">
        <v>100</v>
      </c>
      <c r="I11" s="33">
        <f>(K11-J11)+1</f>
        <v/>
      </c>
      <c r="J11" s="37" t="n">
        <v>83</v>
      </c>
      <c r="K11" s="37" t="n">
        <v>84</v>
      </c>
    </row>
    <row r="12" ht="11.65" customHeight="1">
      <c r="B12" s="31" t="inlineStr">
        <is>
          <t>TP-WST-BWS-SON-55</t>
        </is>
      </c>
      <c r="C12" s="34" t="inlineStr">
        <is>
          <t>4894961084362</t>
        </is>
      </c>
      <c r="D12" s="25" t="n"/>
      <c r="G12" s="35" t="n">
        <v>50</v>
      </c>
      <c r="H12" s="36" t="n">
        <v>50</v>
      </c>
      <c r="I12" s="33">
        <f>(K12-J12)+1</f>
        <v/>
      </c>
      <c r="J12" s="37" t="n">
        <v>85</v>
      </c>
      <c r="K12" s="37" t="n">
        <v>85</v>
      </c>
    </row>
  </sheetData>
  <mergeCells count="10">
    <mergeCell ref="J4:K4"/>
    <mergeCell ref="D3:E4"/>
    <mergeCell ref="C3:C4"/>
    <mergeCell ref="O3:O4"/>
    <mergeCell ref="P3:P4"/>
    <mergeCell ref="F3:F4"/>
    <mergeCell ref="G3:L3"/>
    <mergeCell ref="M3:N3"/>
    <mergeCell ref="A3:B3"/>
    <mergeCell ref="A2:P2"/>
  </mergeCells>
  <conditionalFormatting sqref="B1:B4">
    <cfRule type="duplicateValues" priority="16" dxfId="0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zoomScale="85" zoomScaleNormal="85" workbookViewId="0">
      <selection activeCell="C14" sqref="C14"/>
    </sheetView>
  </sheetViews>
  <sheetFormatPr baseColWidth="8" defaultRowHeight="10.15"/>
  <cols>
    <col width="26.75" customWidth="1" min="2" max="2"/>
    <col width="31.25" customWidth="1" min="3" max="3"/>
    <col width="54" customWidth="1" min="4" max="4"/>
    <col hidden="1" min="5" max="6"/>
    <col hidden="1" min="12" max="15"/>
    <col width="14.9140625" customWidth="1" min="16" max="16"/>
    <col width="41.58203125" customWidth="1" min="19" max="19"/>
  </cols>
  <sheetData>
    <row r="1">
      <c r="A1" t="inlineStr">
        <is>
          <t>TP-QF-60(TG)GL-29052026</t>
        </is>
      </c>
    </row>
    <row r="2" ht="42" customHeight="1">
      <c r="A2" s="66" t="inlineStr">
        <is>
          <t>GHI CHU / NOTE: O do = BAT BUOC (MUST) | Xanh la = KHONG bat buoc (OPTIONAL). Chi can dien ma EAN/Item code (cot C) - SKU (cot B) co the de trong. Dong dau moi carton phai co: cot I=1 hoac MIX, cot J/K=Carton No tu-den, cot P=Carton ID goc.</t>
        </is>
      </c>
      <c r="B2" s="67" t="n"/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  <c r="M2" s="67" t="n"/>
      <c r="N2" s="67" t="n"/>
      <c r="O2" s="67" t="n"/>
      <c r="P2" s="67" t="n"/>
      <c r="Q2" s="67" t="n"/>
      <c r="R2" s="67" t="n"/>
      <c r="S2" s="67" t="n"/>
    </row>
    <row r="3" ht="12.5" customFormat="1" customHeight="1" s="8">
      <c r="A3" s="68" t="inlineStr">
        <is>
          <t>(13) Layer</t>
        </is>
      </c>
      <c r="B3" s="69" t="n"/>
      <c r="C3" s="90" t="inlineStr">
        <is>
          <t>(14) Item code</t>
        </is>
      </c>
      <c r="D3" s="71" t="inlineStr">
        <is>
          <t>(15) Description of GOODS</t>
        </is>
      </c>
      <c r="E3" s="72" t="n"/>
      <c r="F3" s="59" t="inlineStr">
        <is>
          <t>(16) Weight of 1 item</t>
        </is>
      </c>
      <c r="G3" s="73" t="inlineStr">
        <is>
          <t xml:space="preserve">Outer Carton </t>
        </is>
      </c>
      <c r="H3" s="74" t="n"/>
      <c r="I3" s="74" t="n"/>
      <c r="J3" s="74" t="n"/>
      <c r="K3" s="74" t="n"/>
      <c r="L3" s="75" t="n"/>
      <c r="M3" s="76" t="inlineStr">
        <is>
          <t xml:space="preserve">Weight in kg </t>
        </is>
      </c>
      <c r="N3" s="77" t="n"/>
      <c r="O3" s="48" t="inlineStr">
        <is>
          <t>(23) CBM</t>
        </is>
      </c>
      <c r="P3" s="91" t="inlineStr">
        <is>
          <t>Carton ID</t>
        </is>
      </c>
    </row>
    <row r="4" ht="42.5" customFormat="1" customHeight="1" s="8">
      <c r="A4" s="78" t="inlineStr">
        <is>
          <t>Quantity/ Layer (pcs)</t>
        </is>
      </c>
      <c r="B4" s="79" t="inlineStr">
        <is>
          <t>Layer
quantity</t>
        </is>
      </c>
      <c r="C4" s="80" t="n"/>
      <c r="D4" s="81" t="n"/>
      <c r="E4" s="82" t="n"/>
      <c r="F4" s="83" t="n"/>
      <c r="G4" s="84" t="inlineStr">
        <is>
          <t>(17) Total 
Quantity (pcs)</t>
        </is>
      </c>
      <c r="H4" s="85" t="inlineStr">
        <is>
          <t>(18) Quantity/ box (pcs)</t>
        </is>
      </c>
      <c r="I4" s="92" t="inlineStr">
        <is>
          <t>(19) Carton quantity</t>
        </is>
      </c>
      <c r="J4" s="85" t="inlineStr">
        <is>
          <t>Carton No
(from…to…)</t>
        </is>
      </c>
      <c r="K4" s="87" t="n"/>
      <c r="L4" s="93" t="inlineStr">
        <is>
          <t>(20) Carton size
(cm)</t>
        </is>
      </c>
      <c r="M4" s="17" t="inlineStr">
        <is>
          <t>(21) NT . WT</t>
        </is>
      </c>
      <c r="N4" s="17" t="inlineStr">
        <is>
          <t>(22) GT . WT</t>
        </is>
      </c>
      <c r="O4" s="83" t="n"/>
      <c r="P4" s="94" t="n"/>
      <c r="S4" s="19" t="inlineStr">
        <is>
          <t>The mixed SKU/batch # format is set by KEC 
TP-YYMMDD-XX</t>
        </is>
      </c>
    </row>
    <row r="5" ht="25.5" customFormat="1" customHeight="1" s="10">
      <c r="A5" s="20" t="inlineStr">
        <is>
          <t>LOT# FMCGL to VNDC_WUG1103313D 1st</t>
        </is>
      </c>
      <c r="B5" s="7" t="n"/>
      <c r="C5" s="6" t="n"/>
      <c r="D5" s="6" t="n"/>
      <c r="E5" s="6" t="n"/>
      <c r="F5" s="95" t="n"/>
      <c r="G5" s="22" t="n"/>
      <c r="H5" s="4" t="n"/>
      <c r="I5" s="5" t="n"/>
      <c r="J5" s="4" t="n"/>
      <c r="K5" s="4" t="n"/>
      <c r="L5" s="3" t="n"/>
      <c r="M5" s="2" t="n"/>
      <c r="N5" s="2" t="n"/>
      <c r="O5" s="1" t="n"/>
      <c r="P5" s="18" t="n"/>
      <c r="Q5" s="9" t="n"/>
    </row>
    <row r="6" ht="11.65" customFormat="1" customHeight="1" s="24">
      <c r="B6" s="32" t="inlineStr">
        <is>
          <t>TP-WST-BWS-BLK-26</t>
        </is>
      </c>
      <c r="C6" s="65" t="inlineStr">
        <is>
          <t>4895227950230</t>
        </is>
      </c>
      <c r="D6" s="24" t="inlineStr">
        <is>
          <t>Bungee Wrist Strap</t>
        </is>
      </c>
      <c r="G6" s="23" t="n">
        <v>48</v>
      </c>
      <c r="H6" s="23" t="n">
        <v>48</v>
      </c>
      <c r="I6" s="96" t="n">
        <v>1</v>
      </c>
      <c r="J6" s="97" t="n">
        <v>51</v>
      </c>
      <c r="K6" s="97" t="n">
        <v>51</v>
      </c>
      <c r="P6" s="24" t="inlineStr">
        <is>
          <t>TP-260331-01</t>
        </is>
      </c>
    </row>
    <row r="7" ht="11.65" customFormat="1" customHeight="1" s="24">
      <c r="B7" s="32" t="inlineStr">
        <is>
          <t>TP-WST-BWS-BLK-26-BOX</t>
        </is>
      </c>
      <c r="C7" s="65" t="inlineStr">
        <is>
          <t>4895227950629</t>
        </is>
      </c>
      <c r="D7" s="24" t="inlineStr">
        <is>
          <t>Bungee Wrist Strap</t>
        </is>
      </c>
      <c r="G7" s="23" t="n">
        <v>48</v>
      </c>
      <c r="H7" s="23" t="n">
        <v>48</v>
      </c>
      <c r="I7" s="98" t="n"/>
      <c r="J7" s="98" t="n"/>
      <c r="K7" s="98" t="n"/>
    </row>
    <row r="8" ht="11.65" customHeight="1">
      <c r="P8" s="29" t="n"/>
    </row>
    <row r="9" ht="11.65" customHeight="1">
      <c r="P9" s="29" t="n"/>
    </row>
  </sheetData>
  <autoFilter ref="A5:S5"/>
  <mergeCells count="13">
    <mergeCell ref="J4:K4"/>
    <mergeCell ref="D3:E4"/>
    <mergeCell ref="C3:C4"/>
    <mergeCell ref="O3:O4"/>
    <mergeCell ref="P3:P4"/>
    <mergeCell ref="I6:I7"/>
    <mergeCell ref="F3:F4"/>
    <mergeCell ref="G3:L3"/>
    <mergeCell ref="J6:J7"/>
    <mergeCell ref="K6:K7"/>
    <mergeCell ref="M3:N3"/>
    <mergeCell ref="A3:B3"/>
    <mergeCell ref="A2:S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My Y Doan</dc:creator>
  <dcterms:created xmlns:dcterms="http://purl.org/dc/terms/" xmlns:xsi="http://www.w3.org/2001/XMLSchema-instance" xsi:type="dcterms:W3CDTF">2025-12-15T08:53:50Z</dcterms:created>
  <dcterms:modified xmlns:dcterms="http://purl.org/dc/terms/" xmlns:xsi="http://www.w3.org/2001/XMLSchema-instance" xsi:type="dcterms:W3CDTF">2026-07-16T06:00:36Z</dcterms:modified>
  <cp:lastModifiedBy>My Y Doan</cp:lastModifiedBy>
</cp:coreProperties>
</file>